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257a893d14c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输入" sheetId="1" r:id="R6990e972e49e4633"/>
    <x:sheet xmlns:r="http://schemas.openxmlformats.org/officeDocument/2006/relationships" name="计划预览" sheetId="2" r:id="R3e1f296d94e64a0d"/>
    <x:sheet xmlns:r="http://schemas.openxmlformats.org/officeDocument/2006/relationships" name="参数说明" sheetId="3" r:id="R15364d3f87f84a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%"/>
    <x:numFmt numFmtId="202" formatCode="0.00"/>
  </x:numFmts>
  <x:fonts count="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E2926"/>
      <x:name val="Carlito"/>
    </x:font>
    <x:font>
      <x:b/>
      <x:sz val="11"/>
      <x:color rgb="FFFFFFFF"/>
      <x:name val="Carlito"/>
    </x:font>
    <x:font>
      <x:sz val="10"/>
      <x:color rgb="FF1E2926"/>
      <x:name val="Carlito"/>
    </x:font>
    <x:font>
      <x:b/>
      <x:sz val="11"/>
      <x:color rgb="FF1E292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486A2E"/>
      </x:patternFill>
    </x:fill>
    <x:fill>
      <x:patternFill patternType="solid">
        <x:fgColor rgb="FFEFF6E7"/>
      </x:patternFill>
    </x:fill>
    <x:fill>
      <x:patternFill patternType="solid">
        <x:fgColor rgb="FF739E45"/>
      </x:patternFill>
    </x:fill>
    <x:fill>
      <x:patternFill patternType="solid">
        <x:fgColor rgb="FFF7F8F5"/>
      </x:patternFill>
    </x:fill>
  </x:fills>
  <x:borders count="6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8DED8"/>
      </x:bottom>
    </x:border>
    <x:border>
      <x:top style="thin">
        <x:color rgb="FFD8DED8"/>
      </x:top>
      <x:bottom style="thin">
        <x:color rgb="FFD8DED8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1" fontId="4" fillId="0" borderId="4" xfId="0" applyNumberFormat="1" applyFont="1" applyFill="1" applyBorder="1" applyAlignment="1">
      <x:alignment vertical="center"/>
    </x:xf>
    <x:xf numFmtId="201" fontId="4" fillId="0" borderId="5" xfId="0" applyNumberFormat="1" applyFont="1" applyFill="1" applyBorder="1" applyAlignment="1">
      <x:alignment vertical="center"/>
    </x:xf>
    <x:xf numFmtId="202" fontId="4" fillId="0" borderId="4" xfId="0" applyNumberFormat="1" applyFont="1" applyFill="1" applyBorder="1" applyAlignment="1">
      <x:alignment vertical="center"/>
    </x:xf>
    <x:xf numFmtId="202" fontId="4" fillId="0" borderId="5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b96ab93a364e72" /><Relationship Type="http://schemas.openxmlformats.org/officeDocument/2006/relationships/theme" Target="/xl/theme/theme1.xml" Id="Rd20ad98ab4e44683" /><Relationship Type="http://schemas.openxmlformats.org/officeDocument/2006/relationships/sharedStrings" Target="/xl/sharedStrings.xml" Id="R9752da29b1704082" /><Relationship Type="http://schemas.openxmlformats.org/officeDocument/2006/relationships/worksheet" Target="/xl/worksheets/sheet1.xml" Id="R6990e972e49e4633" /><Relationship Type="http://schemas.openxmlformats.org/officeDocument/2006/relationships/worksheet" Target="/xl/worksheets/sheet2.xml" Id="R3e1f296d94e64a0d" /><Relationship Type="http://schemas.openxmlformats.org/officeDocument/2006/relationships/worksheet" Target="/xl/worksheets/sheet3.xml" Id="R15364d3f87f84a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4" hidden="0" customWidth="1"/>
    <x:col min="5" max="5" width="12" hidden="0" customWidth="1"/>
    <x:col min="6" max="6" width="11" hidden="0" customWidth="1"/>
    <x:col min="7" max="7" width="10" hidden="0" customWidth="1"/>
    <x:col min="8" max="8" width="12" hidden="0" customWidth="1"/>
    <x:col min="9" max="9" width="15" hidden="0" customWidth="1"/>
    <x:col min="10" max="10" width="11" hidden="0" customWidth="1"/>
    <x:col min="11" max="11" width="20" hidden="0" customWidth="1"/>
  </x:cols>
  <x:sheetData>
    <x:row r="1" ht="34" customHeight="1">
      <x:c r="A1" s="3" t="str">
        <x:v>方寸标签排版｜复杂脱敏演示订单</x:v>
      </x:c>
      <x:c r="B1" s="3" t="str">
        <x:v>方寸标签排版｜复杂脱敏演示订单</x:v>
      </x:c>
      <x:c r="C1" s="3" t="str">
        <x:v>方寸标签排版｜复杂脱敏演示订单</x:v>
      </x:c>
      <x:c r="D1" s="3" t="str">
        <x:v>方寸标签排版｜复杂脱敏演示订单</x:v>
      </x:c>
      <x:c r="E1" s="3" t="str">
        <x:v>方寸标签排版｜复杂脱敏演示订单</x:v>
      </x:c>
      <x:c r="F1" s="3" t="str">
        <x:v>方寸标签排版｜复杂脱敏演示订单</x:v>
      </x:c>
      <x:c r="G1" s="3" t="str">
        <x:v>方寸标签排版｜复杂脱敏演示订单</x:v>
      </x:c>
      <x:c r="H1" s="3" t="str">
        <x:v>方寸标签排版｜复杂脱敏演示订单</x:v>
      </x:c>
      <x:c r="I1" s="3" t="str">
        <x:v>方寸标签排版｜复杂脱敏演示订单</x:v>
      </x:c>
      <x:c r="J1" s="3" t="str">
        <x:v>方寸标签排版｜复杂脱敏演示订单</x:v>
      </x:c>
      <x:c r="K1" s="3" t="str">
        <x:v>方寸标签排版｜复杂脱敏演示订单</x:v>
      </x:c>
    </x:row>
    <x:row r="2" ht="38" customHeight="1">
      <x:c r="A2" s="7" t="str">
        <x:v>SYNTHETIC DEMO｜全部订单、SKU、品名与成本均为虚构数据；用于展示数据结构，不代表软件实跑结果。</x:v>
      </x:c>
      <x:c r="B2" s="7" t="str">
        <x:v>SYNTHETIC DEMO｜全部订单、SKU、品名与成本均为虚构数据；用于展示数据结构，不代表软件实跑结果。</x:v>
      </x:c>
      <x:c r="C2" s="7" t="str">
        <x:v>SYNTHETIC DEMO｜全部订单、SKU、品名与成本均为虚构数据；用于展示数据结构，不代表软件实跑结果。</x:v>
      </x:c>
      <x:c r="D2" s="7" t="str">
        <x:v>SYNTHETIC DEMO｜全部订单、SKU、品名与成本均为虚构数据；用于展示数据结构，不代表软件实跑结果。</x:v>
      </x:c>
      <x:c r="E2" s="7" t="str">
        <x:v>SYNTHETIC DEMO｜全部订单、SKU、品名与成本均为虚构数据；用于展示数据结构，不代表软件实跑结果。</x:v>
      </x:c>
      <x:c r="F2" s="7" t="str">
        <x:v>SYNTHETIC DEMO｜全部订单、SKU、品名与成本均为虚构数据；用于展示数据结构，不代表软件实跑结果。</x:v>
      </x:c>
      <x:c r="G2" s="7" t="str">
        <x:v>SYNTHETIC DEMO｜全部订单、SKU、品名与成本均为虚构数据；用于展示数据结构，不代表软件实跑结果。</x:v>
      </x:c>
      <x:c r="H2" s="7" t="str">
        <x:v>SYNTHETIC DEMO｜全部订单、SKU、品名与成本均为虚构数据；用于展示数据结构，不代表软件实跑结果。</x:v>
      </x:c>
      <x:c r="I2" s="7" t="str">
        <x:v>SYNTHETIC DEMO｜全部订单、SKU、品名与成本均为虚构数据；用于展示数据结构，不代表软件实跑结果。</x:v>
      </x:c>
      <x:c r="J2" s="7" t="str">
        <x:v>SYNTHETIC DEMO｜全部订单、SKU、品名与成本均为虚构数据；用于展示数据结构，不代表软件实跑结果。</x:v>
      </x:c>
      <x:c r="K2" s="7" t="str">
        <x:v>SYNTHETIC DEMO｜全部订单、SKU、品名与成本均为虚构数据；用于展示数据结构，不代表软件实跑结果。</x:v>
      </x:c>
    </x:row>
    <x:row r="4" ht="30" customHeight="1">
      <x:c r="A4" s="19" t="str">
        <x:v>订单编号</x:v>
      </x:c>
      <x:c r="B4" s="20" t="str">
        <x:v>虚构 SKU</x:v>
      </x:c>
      <x:c r="C4" s="20" t="str">
        <x:v>演示品名</x:v>
      </x:c>
      <x:c r="D4" s="20" t="str">
        <x:v>成品尺寸 mm</x:v>
      </x:c>
      <x:c r="E4" s="20" t="str">
        <x:v>需求数量</x:v>
      </x:c>
      <x:c r="F4" s="20" t="str">
        <x:v>版面容量</x:v>
      </x:c>
      <x:c r="G4" s="20" t="str">
        <x:v>冗余率</x:v>
      </x:c>
      <x:c r="H4" s="20" t="str">
        <x:v>材料</x:v>
      </x:c>
      <x:c r="I4" s="20" t="str">
        <x:v>单张材料成本</x:v>
      </x:c>
      <x:c r="J4" s="20" t="str">
        <x:v>建议印张</x:v>
      </x:c>
      <x:c r="K4" s="21" t="str">
        <x:v>备注</x:v>
      </x:c>
    </x:row>
    <x:row r="5" ht="22" customHeight="1">
      <x:c r="A5" s="25" t="str">
        <x:v>DEMO-LBL-001</x:v>
      </x:c>
      <x:c r="B5" s="25" t="str">
        <x:v>SYN-LBL-060-01</x:v>
      </x:c>
      <x:c r="C5" s="25" t="str">
        <x:v>虚构样品·晨曦 01</x:v>
      </x:c>
      <x:c r="D5" s="25" t="str">
        <x:v>60x40</x:v>
      </x:c>
      <x:c r="E5" s="27" t="n">
        <x:v>1200</x:v>
      </x:c>
      <x:c r="F5" s="27" t="n">
        <x:v>48</x:v>
      </x:c>
      <x:c r="G5" s="29" t="n">
        <x:v>0.05</x:v>
      </x:c>
      <x:c r="H5" s="25" t="str">
        <x:v>铜版纸</x:v>
      </x:c>
      <x:c r="I5" s="31" t="n">
        <x:v>1.85</x:v>
      </x:c>
      <x:c r="J5" s="27" t="n">
        <x:f>CEILING(E5*(1+G5)/F5,1)</x:f>
        <x:v>27</x:v>
      </x:c>
      <x:c r="K5" s="25" t="str">
        <x:v>虚构公开演示数据</x:v>
      </x:c>
    </x:row>
    <x:row r="6" ht="22" customHeight="1">
      <x:c r="A6" s="26" t="str">
        <x:v>DEMO-LBL-002</x:v>
      </x:c>
      <x:c r="B6" s="26" t="str">
        <x:v>SYN-LBL-060-02</x:v>
      </x:c>
      <x:c r="C6" s="26" t="str">
        <x:v>虚构样品·晨曦 02</x:v>
      </x:c>
      <x:c r="D6" s="26" t="str">
        <x:v>60x40</x:v>
      </x:c>
      <x:c r="E6" s="28" t="n">
        <x:v>850</x:v>
      </x:c>
      <x:c r="F6" s="28" t="n">
        <x:v>48</x:v>
      </x:c>
      <x:c r="G6" s="30" t="n">
        <x:v>0.05</x:v>
      </x:c>
      <x:c r="H6" s="26" t="str">
        <x:v>铜版纸</x:v>
      </x:c>
      <x:c r="I6" s="32" t="n">
        <x:v>1.85</x:v>
      </x:c>
      <x:c r="J6" s="28" t="n">
        <x:f>CEILING(E6*(1+G6)/F6,1)</x:f>
        <x:v>19</x:v>
      </x:c>
      <x:c r="K6" s="26" t="str">
        <x:v>虚构公开演示数据</x:v>
      </x:c>
    </x:row>
    <x:row r="7" ht="22" customHeight="1">
      <x:c r="A7" s="26" t="str">
        <x:v>DEMO-LBL-003</x:v>
      </x:c>
      <x:c r="B7" s="26" t="str">
        <x:v>SYN-LBL-060-03</x:v>
      </x:c>
      <x:c r="C7" s="26" t="str">
        <x:v>虚构样品·晨曦 03</x:v>
      </x:c>
      <x:c r="D7" s="26" t="str">
        <x:v>60x40</x:v>
      </x:c>
      <x:c r="E7" s="28" t="n">
        <x:v>2360</x:v>
      </x:c>
      <x:c r="F7" s="28" t="n">
        <x:v>48</x:v>
      </x:c>
      <x:c r="G7" s="30" t="n">
        <x:v>0.05</x:v>
      </x:c>
      <x:c r="H7" s="26" t="str">
        <x:v>铜版纸</x:v>
      </x:c>
      <x:c r="I7" s="32" t="n">
        <x:v>1.85</x:v>
      </x:c>
      <x:c r="J7" s="28" t="n">
        <x:f>CEILING(E7*(1+G7)/F7,1)</x:f>
        <x:v>52</x:v>
      </x:c>
      <x:c r="K7" s="26" t="str">
        <x:v>虚构公开演示数据</x:v>
      </x:c>
    </x:row>
    <x:row r="8" ht="22" customHeight="1">
      <x:c r="A8" s="26" t="str">
        <x:v>DEMO-LBL-004</x:v>
      </x:c>
      <x:c r="B8" s="26" t="str">
        <x:v>SYN-LBL-060-04</x:v>
      </x:c>
      <x:c r="C8" s="26" t="str">
        <x:v>虚构样品·晨曦 04</x:v>
      </x:c>
      <x:c r="D8" s="26" t="str">
        <x:v>60x40</x:v>
      </x:c>
      <x:c r="E8" s="28" t="n">
        <x:v>480</x:v>
      </x:c>
      <x:c r="F8" s="28" t="n">
        <x:v>48</x:v>
      </x:c>
      <x:c r="G8" s="30" t="n">
        <x:v>0.05</x:v>
      </x:c>
      <x:c r="H8" s="26" t="str">
        <x:v>铜版纸</x:v>
      </x:c>
      <x:c r="I8" s="32" t="n">
        <x:v>1.85</x:v>
      </x:c>
      <x:c r="J8" s="28" t="n">
        <x:f>CEILING(E8*(1+G8)/F8,1)</x:f>
        <x:v>11</x:v>
      </x:c>
      <x:c r="K8" s="26" t="str">
        <x:v>虚构公开演示数据</x:v>
      </x:c>
    </x:row>
    <x:row r="9" ht="22" customHeight="1">
      <x:c r="A9" s="26" t="str">
        <x:v>DEMO-LBL-005</x:v>
      </x:c>
      <x:c r="B9" s="26" t="str">
        <x:v>SYN-LBL-060-05</x:v>
      </x:c>
      <x:c r="C9" s="26" t="str">
        <x:v>虚构样品·晨曦 05</x:v>
      </x:c>
      <x:c r="D9" s="26" t="str">
        <x:v>60x40</x:v>
      </x:c>
      <x:c r="E9" s="28" t="n">
        <x:v>1750</x:v>
      </x:c>
      <x:c r="F9" s="28" t="n">
        <x:v>48</x:v>
      </x:c>
      <x:c r="G9" s="30" t="n">
        <x:v>0.05</x:v>
      </x:c>
      <x:c r="H9" s="26" t="str">
        <x:v>铜版纸</x:v>
      </x:c>
      <x:c r="I9" s="32" t="n">
        <x:v>1.85</x:v>
      </x:c>
      <x:c r="J9" s="28" t="n">
        <x:f>CEILING(E9*(1+G9)/F9,1)</x:f>
        <x:v>39</x:v>
      </x:c>
      <x:c r="K9" s="26" t="str">
        <x:v>虚构公开演示数据</x:v>
      </x:c>
    </x:row>
    <x:row r="10" ht="22" customHeight="1">
      <x:c r="A10" s="26" t="str">
        <x:v>DEMO-LBL-006</x:v>
      </x:c>
      <x:c r="B10" s="26" t="str">
        <x:v>SYN-LBL-060-06</x:v>
      </x:c>
      <x:c r="C10" s="26" t="str">
        <x:v>虚构样品·晨曦 06</x:v>
      </x:c>
      <x:c r="D10" s="26" t="str">
        <x:v>60x40</x:v>
      </x:c>
      <x:c r="E10" s="28" t="n">
        <x:v>920</x:v>
      </x:c>
      <x:c r="F10" s="28" t="n">
        <x:v>48</x:v>
      </x:c>
      <x:c r="G10" s="30" t="n">
        <x:v>0.05</x:v>
      </x:c>
      <x:c r="H10" s="26" t="str">
        <x:v>铜版纸</x:v>
      </x:c>
      <x:c r="I10" s="32" t="n">
        <x:v>1.85</x:v>
      </x:c>
      <x:c r="J10" s="28" t="n">
        <x:f>CEILING(E10*(1+G10)/F10,1)</x:f>
        <x:v>21</x:v>
      </x:c>
      <x:c r="K10" s="26" t="str">
        <x:v>虚构公开演示数据</x:v>
      </x:c>
    </x:row>
    <x:row r="11" ht="22" customHeight="1">
      <x:c r="A11" s="26" t="str">
        <x:v>DEMO-LBL-007</x:v>
      </x:c>
      <x:c r="B11" s="26" t="str">
        <x:v>SYN-LBL-060-07</x:v>
      </x:c>
      <x:c r="C11" s="26" t="str">
        <x:v>虚构样品·晨曦 07</x:v>
      </x:c>
      <x:c r="D11" s="26" t="str">
        <x:v>60x40</x:v>
      </x:c>
      <x:c r="E11" s="28" t="n">
        <x:v>3100</x:v>
      </x:c>
      <x:c r="F11" s="28" t="n">
        <x:v>48</x:v>
      </x:c>
      <x:c r="G11" s="30" t="n">
        <x:v>0.05</x:v>
      </x:c>
      <x:c r="H11" s="26" t="str">
        <x:v>铜版纸</x:v>
      </x:c>
      <x:c r="I11" s="32" t="n">
        <x:v>1.85</x:v>
      </x:c>
      <x:c r="J11" s="28" t="n">
        <x:f>CEILING(E11*(1+G11)/F11,1)</x:f>
        <x:v>68</x:v>
      </x:c>
      <x:c r="K11" s="26" t="str">
        <x:v>虚构公开演示数据</x:v>
      </x:c>
    </x:row>
    <x:row r="12" ht="22" customHeight="1">
      <x:c r="A12" s="26" t="str">
        <x:v>DEMO-LBL-008</x:v>
      </x:c>
      <x:c r="B12" s="26" t="str">
        <x:v>SYN-LBL-060-08</x:v>
      </x:c>
      <x:c r="C12" s="26" t="str">
        <x:v>虚构样品·晨曦 08</x:v>
      </x:c>
      <x:c r="D12" s="26" t="str">
        <x:v>60x40</x:v>
      </x:c>
      <x:c r="E12" s="28" t="n">
        <x:v>640</x:v>
      </x:c>
      <x:c r="F12" s="28" t="n">
        <x:v>48</x:v>
      </x:c>
      <x:c r="G12" s="30" t="n">
        <x:v>0.05</x:v>
      </x:c>
      <x:c r="H12" s="26" t="str">
        <x:v>铜版纸</x:v>
      </x:c>
      <x:c r="I12" s="32" t="n">
        <x:v>1.85</x:v>
      </x:c>
      <x:c r="J12" s="28" t="n">
        <x:f>CEILING(E12*(1+G12)/F12,1)</x:f>
        <x:v>14</x:v>
      </x:c>
      <x:c r="K12" s="26" t="str">
        <x:v>虚构公开演示数据</x:v>
      </x:c>
    </x:row>
    <x:row r="13" ht="22" customHeight="1">
      <x:c r="A13" s="26" t="str">
        <x:v>DEMO-LBL-009</x:v>
      </x:c>
      <x:c r="B13" s="26" t="str">
        <x:v>SYN-LBL-080-01</x:v>
      </x:c>
      <x:c r="C13" s="26" t="str">
        <x:v>虚构样品·星河 01</x:v>
      </x:c>
      <x:c r="D13" s="26" t="str">
        <x:v>80x50</x:v>
      </x:c>
      <x:c r="E13" s="28" t="n">
        <x:v>800</x:v>
      </x:c>
      <x:c r="F13" s="28" t="n">
        <x:v>30</x:v>
      </x:c>
      <x:c r="G13" s="30" t="n">
        <x:v>0.05</x:v>
      </x:c>
      <x:c r="H13" s="26" t="str">
        <x:v>合成纸</x:v>
      </x:c>
      <x:c r="I13" s="32" t="n">
        <x:v>2.1</x:v>
      </x:c>
      <x:c r="J13" s="28" t="n">
        <x:f>CEILING(E13*(1+G13)/F13,1)</x:f>
        <x:v>28</x:v>
      </x:c>
      <x:c r="K13" s="26" t="str">
        <x:v>虚构公开演示数据</x:v>
      </x:c>
    </x:row>
    <x:row r="14" ht="22" customHeight="1">
      <x:c r="A14" s="26" t="str">
        <x:v>DEMO-LBL-010</x:v>
      </x:c>
      <x:c r="B14" s="26" t="str">
        <x:v>SYN-LBL-080-02</x:v>
      </x:c>
      <x:c r="C14" s="26" t="str">
        <x:v>虚构样品·星河 02</x:v>
      </x:c>
      <x:c r="D14" s="26" t="str">
        <x:v>80x50</x:v>
      </x:c>
      <x:c r="E14" s="28" t="n">
        <x:v>1560</x:v>
      </x:c>
      <x:c r="F14" s="28" t="n">
        <x:v>30</x:v>
      </x:c>
      <x:c r="G14" s="30" t="n">
        <x:v>0.05</x:v>
      </x:c>
      <x:c r="H14" s="26" t="str">
        <x:v>合成纸</x:v>
      </x:c>
      <x:c r="I14" s="32" t="n">
        <x:v>2.1</x:v>
      </x:c>
      <x:c r="J14" s="28" t="n">
        <x:f>CEILING(E14*(1+G14)/F14,1)</x:f>
        <x:v>55</x:v>
      </x:c>
      <x:c r="K14" s="26" t="str">
        <x:v>虚构公开演示数据</x:v>
      </x:c>
    </x:row>
    <x:row r="15" ht="22" customHeight="1">
      <x:c r="A15" s="26" t="str">
        <x:v>DEMO-LBL-011</x:v>
      </x:c>
      <x:c r="B15" s="26" t="str">
        <x:v>SYN-LBL-080-03</x:v>
      </x:c>
      <x:c r="C15" s="26" t="str">
        <x:v>虚构样品·星河 03</x:v>
      </x:c>
      <x:c r="D15" s="26" t="str">
        <x:v>80x50</x:v>
      </x:c>
      <x:c r="E15" s="28" t="n">
        <x:v>420</x:v>
      </x:c>
      <x:c r="F15" s="28" t="n">
        <x:v>30</x:v>
      </x:c>
      <x:c r="G15" s="30" t="n">
        <x:v>0.05</x:v>
      </x:c>
      <x:c r="H15" s="26" t="str">
        <x:v>合成纸</x:v>
      </x:c>
      <x:c r="I15" s="32" t="n">
        <x:v>2.1</x:v>
      </x:c>
      <x:c r="J15" s="28" t="n">
        <x:f>CEILING(E15*(1+G15)/F15,1)</x:f>
        <x:v>15</x:v>
      </x:c>
      <x:c r="K15" s="26" t="str">
        <x:v>虚构公开演示数据</x:v>
      </x:c>
    </x:row>
    <x:row r="16" ht="22" customHeight="1">
      <x:c r="A16" s="26" t="str">
        <x:v>DEMO-LBL-012</x:v>
      </x:c>
      <x:c r="B16" s="26" t="str">
        <x:v>SYN-LBL-080-04</x:v>
      </x:c>
      <x:c r="C16" s="26" t="str">
        <x:v>虚构样品·星河 04</x:v>
      </x:c>
      <x:c r="D16" s="26" t="str">
        <x:v>80x50</x:v>
      </x:c>
      <x:c r="E16" s="28" t="n">
        <x:v>2050</x:v>
      </x:c>
      <x:c r="F16" s="28" t="n">
        <x:v>30</x:v>
      </x:c>
      <x:c r="G16" s="30" t="n">
        <x:v>0.05</x:v>
      </x:c>
      <x:c r="H16" s="26" t="str">
        <x:v>合成纸</x:v>
      </x:c>
      <x:c r="I16" s="32" t="n">
        <x:v>2.1</x:v>
      </x:c>
      <x:c r="J16" s="28" t="n">
        <x:f>CEILING(E16*(1+G16)/F16,1)</x:f>
        <x:v>72</x:v>
      </x:c>
      <x:c r="K16" s="26" t="str">
        <x:v>虚构公开演示数据</x:v>
      </x:c>
    </x:row>
    <x:row r="17" ht="22" customHeight="1">
      <x:c r="A17" s="26" t="str">
        <x:v>DEMO-LBL-013</x:v>
      </x:c>
      <x:c r="B17" s="26" t="str">
        <x:v>SYN-LBL-080-05</x:v>
      </x:c>
      <x:c r="C17" s="26" t="str">
        <x:v>虚构样品·星河 05</x:v>
      </x:c>
      <x:c r="D17" s="26" t="str">
        <x:v>80x50</x:v>
      </x:c>
      <x:c r="E17" s="28" t="n">
        <x:v>975</x:v>
      </x:c>
      <x:c r="F17" s="28" t="n">
        <x:v>30</x:v>
      </x:c>
      <x:c r="G17" s="30" t="n">
        <x:v>0.05</x:v>
      </x:c>
      <x:c r="H17" s="26" t="str">
        <x:v>合成纸</x:v>
      </x:c>
      <x:c r="I17" s="32" t="n">
        <x:v>2.1</x:v>
      </x:c>
      <x:c r="J17" s="28" t="n">
        <x:f>CEILING(E17*(1+G17)/F17,1)</x:f>
        <x:v>35</x:v>
      </x:c>
      <x:c r="K17" s="26" t="str">
        <x:v>虚构公开演示数据</x:v>
      </x:c>
    </x:row>
    <x:row r="18" ht="22" customHeight="1">
      <x:c r="A18" s="26" t="str">
        <x:v>DEMO-LBL-014</x:v>
      </x:c>
      <x:c r="B18" s="26" t="str">
        <x:v>SYN-LBL-080-06</x:v>
      </x:c>
      <x:c r="C18" s="26" t="str">
        <x:v>虚构样品·星河 06</x:v>
      </x:c>
      <x:c r="D18" s="26" t="str">
        <x:v>80x50</x:v>
      </x:c>
      <x:c r="E18" s="28" t="n">
        <x:v>1340</x:v>
      </x:c>
      <x:c r="F18" s="28" t="n">
        <x:v>30</x:v>
      </x:c>
      <x:c r="G18" s="30" t="n">
        <x:v>0.05</x:v>
      </x:c>
      <x:c r="H18" s="26" t="str">
        <x:v>合成纸</x:v>
      </x:c>
      <x:c r="I18" s="32" t="n">
        <x:v>2.1</x:v>
      </x:c>
      <x:c r="J18" s="28" t="n">
        <x:f>CEILING(E18*(1+G18)/F18,1)</x:f>
        <x:v>47</x:v>
      </x:c>
      <x:c r="K18" s="26" t="str">
        <x:v>虚构公开演示数据</x:v>
      </x:c>
    </x:row>
    <x:row r="19" ht="22" customHeight="1">
      <x:c r="A19" s="26" t="str">
        <x:v>DEMO-LBL-015</x:v>
      </x:c>
      <x:c r="B19" s="26" t="str">
        <x:v>SYN-LBL-080-07</x:v>
      </x:c>
      <x:c r="C19" s="26" t="str">
        <x:v>虚构样品·星河 07</x:v>
      </x:c>
      <x:c r="D19" s="26" t="str">
        <x:v>80x50</x:v>
      </x:c>
      <x:c r="E19" s="28" t="n">
        <x:v>2760</x:v>
      </x:c>
      <x:c r="F19" s="28" t="n">
        <x:v>30</x:v>
      </x:c>
      <x:c r="G19" s="30" t="n">
        <x:v>0.05</x:v>
      </x:c>
      <x:c r="H19" s="26" t="str">
        <x:v>合成纸</x:v>
      </x:c>
      <x:c r="I19" s="32" t="n">
        <x:v>2.1</x:v>
      </x:c>
      <x:c r="J19" s="28" t="n">
        <x:f>CEILING(E19*(1+G19)/F19,1)</x:f>
        <x:v>97</x:v>
      </x:c>
      <x:c r="K19" s="26" t="str">
        <x:v>虚构公开演示数据</x:v>
      </x:c>
    </x:row>
    <x:row r="20" ht="22" customHeight="1">
      <x:c r="A20" s="26" t="str">
        <x:v>DEMO-LBL-016</x:v>
      </x:c>
      <x:c r="B20" s="26" t="str">
        <x:v>SYN-LBL-080-08</x:v>
      </x:c>
      <x:c r="C20" s="26" t="str">
        <x:v>虚构样品·星河 08</x:v>
      </x:c>
      <x:c r="D20" s="26" t="str">
        <x:v>80x50</x:v>
      </x:c>
      <x:c r="E20" s="28" t="n">
        <x:v>510</x:v>
      </x:c>
      <x:c r="F20" s="28" t="n">
        <x:v>30</x:v>
      </x:c>
      <x:c r="G20" s="30" t="n">
        <x:v>0.05</x:v>
      </x:c>
      <x:c r="H20" s="26" t="str">
        <x:v>合成纸</x:v>
      </x:c>
      <x:c r="I20" s="32" t="n">
        <x:v>2.1</x:v>
      </x:c>
      <x:c r="J20" s="28" t="n">
        <x:f>CEILING(E20*(1+G20)/F20,1)</x:f>
        <x:v>18</x:v>
      </x:c>
      <x:c r="K20" s="26" t="str">
        <x:v>虚构公开演示数据</x:v>
      </x:c>
    </x:row>
    <x:row r="21" ht="22" customHeight="1">
      <x:c r="A21" s="26" t="str">
        <x:v>DEMO-LBL-017</x:v>
      </x:c>
      <x:c r="B21" s="26" t="str">
        <x:v>SYN-LBL-100-01</x:v>
      </x:c>
      <x:c r="C21" s="26" t="str">
        <x:v>虚构样品·极光 01</x:v>
      </x:c>
      <x:c r="D21" s="26" t="str">
        <x:v>100x70</x:v>
      </x:c>
      <x:c r="E21" s="28" t="n">
        <x:v>360</x:v>
      </x:c>
      <x:c r="F21" s="28" t="n">
        <x:v>20</x:v>
      </x:c>
      <x:c r="G21" s="30" t="n">
        <x:v>0.05</x:v>
      </x:c>
      <x:c r="H21" s="26" t="str">
        <x:v>哑银 PET</x:v>
      </x:c>
      <x:c r="I21" s="32" t="n">
        <x:v>2.45</x:v>
      </x:c>
      <x:c r="J21" s="28" t="n">
        <x:f>CEILING(E21*(1+G21)/F21,1)</x:f>
        <x:v>19</x:v>
      </x:c>
      <x:c r="K21" s="26" t="str">
        <x:v>虚构公开演示数据</x:v>
      </x:c>
    </x:row>
    <x:row r="22" ht="22" customHeight="1">
      <x:c r="A22" s="26" t="str">
        <x:v>DEMO-LBL-018</x:v>
      </x:c>
      <x:c r="B22" s="26" t="str">
        <x:v>SYN-LBL-100-02</x:v>
      </x:c>
      <x:c r="C22" s="26" t="str">
        <x:v>虚构样品·极光 02</x:v>
      </x:c>
      <x:c r="D22" s="26" t="str">
        <x:v>100x70</x:v>
      </x:c>
      <x:c r="E22" s="28" t="n">
        <x:v>820</x:v>
      </x:c>
      <x:c r="F22" s="28" t="n">
        <x:v>20</x:v>
      </x:c>
      <x:c r="G22" s="30" t="n">
        <x:v>0.05</x:v>
      </x:c>
      <x:c r="H22" s="26" t="str">
        <x:v>哑银 PET</x:v>
      </x:c>
      <x:c r="I22" s="32" t="n">
        <x:v>2.45</x:v>
      </x:c>
      <x:c r="J22" s="28" t="n">
        <x:f>CEILING(E22*(1+G22)/F22,1)</x:f>
        <x:v>44</x:v>
      </x:c>
      <x:c r="K22" s="26" t="str">
        <x:v>虚构公开演示数据</x:v>
      </x:c>
    </x:row>
    <x:row r="23" ht="22" customHeight="1">
      <x:c r="A23" s="26" t="str">
        <x:v>DEMO-LBL-019</x:v>
      </x:c>
      <x:c r="B23" s="26" t="str">
        <x:v>SYN-LBL-100-03</x:v>
      </x:c>
      <x:c r="C23" s="26" t="str">
        <x:v>虚构样品·极光 03</x:v>
      </x:c>
      <x:c r="D23" s="26" t="str">
        <x:v>100x70</x:v>
      </x:c>
      <x:c r="E23" s="28" t="n">
        <x:v>1260</x:v>
      </x:c>
      <x:c r="F23" s="28" t="n">
        <x:v>20</x:v>
      </x:c>
      <x:c r="G23" s="30" t="n">
        <x:v>0.05</x:v>
      </x:c>
      <x:c r="H23" s="26" t="str">
        <x:v>哑银 PET</x:v>
      </x:c>
      <x:c r="I23" s="32" t="n">
        <x:v>2.45</x:v>
      </x:c>
      <x:c r="J23" s="28" t="n">
        <x:f>CEILING(E23*(1+G23)/F23,1)</x:f>
        <x:v>67</x:v>
      </x:c>
      <x:c r="K23" s="26" t="str">
        <x:v>虚构公开演示数据</x:v>
      </x:c>
    </x:row>
    <x:row r="24" ht="22" customHeight="1">
      <x:c r="A24" s="26" t="str">
        <x:v>DEMO-LBL-020</x:v>
      </x:c>
      <x:c r="B24" s="26" t="str">
        <x:v>SYN-LBL-100-04</x:v>
      </x:c>
      <x:c r="C24" s="26" t="str">
        <x:v>虚构样品·极光 04</x:v>
      </x:c>
      <x:c r="D24" s="26" t="str">
        <x:v>100x70</x:v>
      </x:c>
      <x:c r="E24" s="28" t="n">
        <x:v>540</x:v>
      </x:c>
      <x:c r="F24" s="28" t="n">
        <x:v>20</x:v>
      </x:c>
      <x:c r="G24" s="30" t="n">
        <x:v>0.05</x:v>
      </x:c>
      <x:c r="H24" s="26" t="str">
        <x:v>哑银 PET</x:v>
      </x:c>
      <x:c r="I24" s="32" t="n">
        <x:v>2.45</x:v>
      </x:c>
      <x:c r="J24" s="28" t="n">
        <x:f>CEILING(E24*(1+G24)/F24,1)</x:f>
        <x:v>29</x:v>
      </x:c>
      <x:c r="K24" s="26" t="str">
        <x:v>虚构公开演示数据</x:v>
      </x:c>
    </x:row>
    <x:row r="25" ht="22" customHeight="1">
      <x:c r="A25" s="26" t="str">
        <x:v>DEMO-LBL-021</x:v>
      </x:c>
      <x:c r="B25" s="26" t="str">
        <x:v>SYN-LBL-100-05</x:v>
      </x:c>
      <x:c r="C25" s="26" t="str">
        <x:v>虚构样品·极光 05</x:v>
      </x:c>
      <x:c r="D25" s="26" t="str">
        <x:v>100x70</x:v>
      </x:c>
      <x:c r="E25" s="28" t="n">
        <x:v>1740</x:v>
      </x:c>
      <x:c r="F25" s="28" t="n">
        <x:v>20</x:v>
      </x:c>
      <x:c r="G25" s="30" t="n">
        <x:v>0.05</x:v>
      </x:c>
      <x:c r="H25" s="26" t="str">
        <x:v>哑银 PET</x:v>
      </x:c>
      <x:c r="I25" s="32" t="n">
        <x:v>2.45</x:v>
      </x:c>
      <x:c r="J25" s="28" t="n">
        <x:f>CEILING(E25*(1+G25)/F25,1)</x:f>
        <x:v>92</x:v>
      </x:c>
      <x:c r="K25" s="26" t="str">
        <x:v>虚构公开演示数据</x:v>
      </x:c>
    </x:row>
    <x:row r="26" ht="22" customHeight="1">
      <x:c r="A26" s="26" t="str">
        <x:v>DEMO-LBL-022</x:v>
      </x:c>
      <x:c r="B26" s="26" t="str">
        <x:v>SYN-LBL-100-06</x:v>
      </x:c>
      <x:c r="C26" s="26" t="str">
        <x:v>虚构样品·极光 06</x:v>
      </x:c>
      <x:c r="D26" s="26" t="str">
        <x:v>100x70</x:v>
      </x:c>
      <x:c r="E26" s="28" t="n">
        <x:v>960</x:v>
      </x:c>
      <x:c r="F26" s="28" t="n">
        <x:v>20</x:v>
      </x:c>
      <x:c r="G26" s="30" t="n">
        <x:v>0.05</x:v>
      </x:c>
      <x:c r="H26" s="26" t="str">
        <x:v>哑银 PET</x:v>
      </x:c>
      <x:c r="I26" s="32" t="n">
        <x:v>2.45</x:v>
      </x:c>
      <x:c r="J26" s="28" t="n">
        <x:f>CEILING(E26*(1+G26)/F26,1)</x:f>
        <x:v>51</x:v>
      </x:c>
      <x:c r="K26" s="26" t="str">
        <x:v>虚构公开演示数据</x:v>
      </x:c>
    </x:row>
    <x:row r="27" ht="22" customHeight="1">
      <x:c r="A27" s="26" t="str">
        <x:v>DEMO-LBL-023</x:v>
      </x:c>
      <x:c r="B27" s="26" t="str">
        <x:v>SYN-LBL-100-07</x:v>
      </x:c>
      <x:c r="C27" s="26" t="str">
        <x:v>虚构样品·极光 07</x:v>
      </x:c>
      <x:c r="D27" s="26" t="str">
        <x:v>100x70</x:v>
      </x:c>
      <x:c r="E27" s="28" t="n">
        <x:v>2200</x:v>
      </x:c>
      <x:c r="F27" s="28" t="n">
        <x:v>20</x:v>
      </x:c>
      <x:c r="G27" s="30" t="n">
        <x:v>0.05</x:v>
      </x:c>
      <x:c r="H27" s="26" t="str">
        <x:v>哑银 PET</x:v>
      </x:c>
      <x:c r="I27" s="32" t="n">
        <x:v>2.45</x:v>
      </x:c>
      <x:c r="J27" s="28" t="n">
        <x:f>CEILING(E27*(1+G27)/F27,1)</x:f>
        <x:v>116</x:v>
      </x:c>
      <x:c r="K27" s="26" t="str">
        <x:v>虚构公开演示数据</x:v>
      </x:c>
    </x:row>
    <x:row r="28" ht="22" customHeight="1">
      <x:c r="A28" s="26" t="str">
        <x:v>DEMO-LBL-024</x:v>
      </x:c>
      <x:c r="B28" s="26" t="str">
        <x:v>SYN-LBL-100-08</x:v>
      </x:c>
      <x:c r="C28" s="26" t="str">
        <x:v>虚构样品·极光 08</x:v>
      </x:c>
      <x:c r="D28" s="26" t="str">
        <x:v>100x70</x:v>
      </x:c>
      <x:c r="E28" s="28" t="n">
        <x:v>680</x:v>
      </x:c>
      <x:c r="F28" s="28" t="n">
        <x:v>20</x:v>
      </x:c>
      <x:c r="G28" s="30" t="n">
        <x:v>0.05</x:v>
      </x:c>
      <x:c r="H28" s="26" t="str">
        <x:v>哑银 PET</x:v>
      </x:c>
      <x:c r="I28" s="32" t="n">
        <x:v>2.45</x:v>
      </x:c>
      <x:c r="J28" s="28" t="n">
        <x:f>CEILING(E28*(1+G28)/F28,1)</x:f>
        <x:v>36</x:v>
      </x:c>
      <x:c r="K28" s="26" t="str">
        <x:v>虚构公开演示数据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16" hidden="0" customWidth="1"/>
    <x:col min="4" max="4" width="16" hidden="0" customWidth="1"/>
    <x:col min="5" max="5" width="12" hidden="0" customWidth="1"/>
    <x:col min="6" max="6" width="16" hidden="0" customWidth="1"/>
    <x:col min="7" max="7" width="14" hidden="0" customWidth="1"/>
  </x:cols>
  <x:sheetData>
    <x:row r="1" ht="34" customHeight="1">
      <x:c r="A1" s="3" t="str">
        <x:v>计划预览｜按成品尺寸汇总</x:v>
      </x:c>
      <x:c r="B1" s="3" t="str">
        <x:v>计划预览｜按成品尺寸汇总</x:v>
      </x:c>
      <x:c r="C1" s="3" t="str">
        <x:v>计划预览｜按成品尺寸汇总</x:v>
      </x:c>
      <x:c r="D1" s="3" t="str">
        <x:v>计划预览｜按成品尺寸汇总</x:v>
      </x:c>
      <x:c r="E1" s="3" t="str">
        <x:v>计划预览｜按成品尺寸汇总</x:v>
      </x:c>
      <x:c r="F1" s="3" t="str">
        <x:v>计划预览｜按成品尺寸汇总</x:v>
      </x:c>
      <x:c r="G1" s="3" t="str">
        <x:v>计划预览｜按成品尺寸汇总</x:v>
      </x:c>
    </x:row>
    <x:row r="2" ht="38" customHeight="1">
      <x:c r="A2" s="7" t="str">
        <x:v>汇总值由“订单输入”公式计算；编辑需求数量、版面容量或冗余率后可重新复核。</x:v>
      </x:c>
      <x:c r="B2" s="7" t="str">
        <x:v>汇总值由“订单输入”公式计算；编辑需求数量、版面容量或冗余率后可重新复核。</x:v>
      </x:c>
      <x:c r="C2" s="7" t="str">
        <x:v>汇总值由“订单输入”公式计算；编辑需求数量、版面容量或冗余率后可重新复核。</x:v>
      </x:c>
      <x:c r="D2" s="7" t="str">
        <x:v>汇总值由“订单输入”公式计算；编辑需求数量、版面容量或冗余率后可重新复核。</x:v>
      </x:c>
      <x:c r="E2" s="7" t="str">
        <x:v>汇总值由“订单输入”公式计算；编辑需求数量、版面容量或冗余率后可重新复核。</x:v>
      </x:c>
      <x:c r="F2" s="7" t="str">
        <x:v>汇总值由“订单输入”公式计算；编辑需求数量、版面容量或冗余率后可重新复核。</x:v>
      </x:c>
      <x:c r="G2" s="7" t="str">
        <x:v>汇总值由“订单输入”公式计算；编辑需求数量、版面容量或冗余率后可重新复核。</x:v>
      </x:c>
    </x:row>
    <x:row r="4" ht="30" customHeight="1">
      <x:c r="A4" s="19" t="str">
        <x:v>成品尺寸 mm</x:v>
      </x:c>
      <x:c r="B4" s="20" t="str">
        <x:v>订单款数</x:v>
      </x:c>
      <x:c r="C4" s="20" t="str">
        <x:v>总需求数量</x:v>
      </x:c>
      <x:c r="D4" s="20" t="str">
        <x:v>总建议印张</x:v>
      </x:c>
      <x:c r="E4" s="20" t="str">
        <x:v>版面容量</x:v>
      </x:c>
      <x:c r="F4" s="20" t="str">
        <x:v>材料</x:v>
      </x:c>
      <x:c r="G4" s="21" t="str">
        <x:v>检查</x:v>
      </x:c>
    </x:row>
    <x:row r="5" ht="22" customHeight="1">
      <x:c r="A5" s="25" t="str">
        <x:v>60x40</x:v>
      </x:c>
      <x:c r="B5" s="27" t="n">
        <x:f>COUNTIF('订单输入'!$D$5:$D$28,A5)</x:f>
        <x:v>8</x:v>
      </x:c>
      <x:c r="C5" s="27" t="n">
        <x:f>SUMIF('订单输入'!$D$5:$D$28,A5,'订单输入'!$E$5:$E$28)</x:f>
        <x:v>11300</x:v>
      </x:c>
      <x:c r="D5" s="27" t="n">
        <x:f>SUMIF('订单输入'!$D$5:$D$28,A5,'订单输入'!$J$5:$J$28)</x:f>
        <x:v>251</x:v>
      </x:c>
      <x:c r="E5" s="27" t="n">
        <x:v>48</x:v>
      </x:c>
      <x:c r="F5" s="25" t="str">
        <x:v>铜版纸</x:v>
      </x:c>
      <x:c r="G5" s="25" t="str">
        <x:f>IF(B5=8,"PASS","CHECK")</x:f>
        <x:v>PASS</x:v>
      </x:c>
    </x:row>
    <x:row r="6" ht="22" customHeight="1">
      <x:c r="A6" s="26" t="str">
        <x:v>80x50</x:v>
      </x:c>
      <x:c r="B6" s="28" t="n">
        <x:f>COUNTIF('订单输入'!$D$5:$D$28,A6)</x:f>
        <x:v>8</x:v>
      </x:c>
      <x:c r="C6" s="28" t="n">
        <x:f>SUMIF('订单输入'!$D$5:$D$28,A6,'订单输入'!$E$5:$E$28)</x:f>
        <x:v>10415</x:v>
      </x:c>
      <x:c r="D6" s="28" t="n">
        <x:f>SUMIF('订单输入'!$D$5:$D$28,A6,'订单输入'!$J$5:$J$28)</x:f>
        <x:v>367</x:v>
      </x:c>
      <x:c r="E6" s="28" t="n">
        <x:v>30</x:v>
      </x:c>
      <x:c r="F6" s="26" t="str">
        <x:v>合成纸</x:v>
      </x:c>
      <x:c r="G6" s="26" t="str">
        <x:f>IF(B6=8,"PASS","CHECK")</x:f>
        <x:v>PASS</x:v>
      </x:c>
    </x:row>
    <x:row r="7" ht="22" customHeight="1">
      <x:c r="A7" s="26" t="str">
        <x:v>100x70</x:v>
      </x:c>
      <x:c r="B7" s="28" t="n">
        <x:f>COUNTIF('订单输入'!$D$5:$D$28,A7)</x:f>
        <x:v>8</x:v>
      </x:c>
      <x:c r="C7" s="28" t="n">
        <x:f>SUMIF('订单输入'!$D$5:$D$28,A7,'订单输入'!$E$5:$E$28)</x:f>
        <x:v>8560</x:v>
      </x:c>
      <x:c r="D7" s="28" t="n">
        <x:f>SUMIF('订单输入'!$D$5:$D$28,A7,'订单输入'!$J$5:$J$28)</x:f>
        <x:v>454</x:v>
      </x:c>
      <x:c r="E7" s="28" t="n">
        <x:v>20</x:v>
      </x:c>
      <x:c r="F7" s="26" t="str">
        <x:v>哑银 PET</x:v>
      </x:c>
      <x:c r="G7" s="26" t="str">
        <x:f>IF(B7=8,"PASS","CHECK")</x:f>
        <x:v>PASS</x:v>
      </x:c>
    </x:row>
    <x:row r="9">
      <x:c r="A9" s="34" t="str">
        <x:v>合计</x:v>
      </x:c>
      <x:c r="B9" s="34" t="str">
        <x:v>合计</x:v>
      </x:c>
      <x:c r="C9" s="34" t="str">
        <x:v>合计</x:v>
      </x:c>
      <x:c r="D9" s="34" t="str">
        <x:v>合计</x:v>
      </x:c>
      <x:c r="E9" s="34" t="str">
        <x:v>合计</x:v>
      </x:c>
      <x:c r="F9" s="34" t="str">
        <x:v>合计</x:v>
      </x:c>
      <x:c r="G9" s="34" t="str">
        <x:v>合计</x:v>
      </x:c>
    </x:row>
    <x:row r="10" ht="22" customHeight="1">
      <x:c r="A10" s="25" t="str">
        <x:v>全部尺寸</x:v>
      </x:c>
      <x:c r="B10" s="27" t="n">
        <x:f>SUM(B5:B7)</x:f>
        <x:v>24</x:v>
      </x:c>
      <x:c r="C10" s="27" t="n">
        <x:f>SUM(C5:C7)</x:f>
        <x:v>30275</x:v>
      </x:c>
      <x:c r="D10" s="27" t="n">
        <x:f>SUM(D5:D7)</x:f>
        <x:v>1072</x:v>
      </x:c>
      <x:c r="E10" s="25"/>
      <x:c r="F10" s="25" t="str">
        <x:v>3 种材料</x:v>
      </x:c>
      <x:c r="G10" s="25" t="str">
        <x:v>结构示例</x:v>
      </x:c>
    </x:row>
  </x:sheetData>
  <x:mergeCells>
    <x:mergeCell ref="A1:G1"/>
    <x:mergeCell ref="A2:G2"/>
    <x:mergeCell ref="A9:G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</x:cols>
  <x:sheetData>
    <x:row r="1" ht="34" customHeight="1">
      <x:c r="A1" s="3" t="str">
        <x:v>参数说明与真实性边界</x:v>
      </x:c>
      <x:c r="B1" s="3" t="str">
        <x:v>参数说明与真实性边界</x:v>
      </x:c>
      <x:c r="C1" s="3" t="str">
        <x:v>参数说明与真实性边界</x:v>
      </x:c>
      <x:c r="D1" s="3" t="str">
        <x:v>参数说明与真实性边界</x:v>
      </x:c>
      <x:c r="E1" s="3" t="str">
        <x:v>参数说明与真实性边界</x:v>
      </x:c>
      <x:c r="F1" s="3" t="str">
        <x:v>参数说明与真实性边界</x:v>
      </x:c>
    </x:row>
    <x:row r="3" ht="30" customHeight="1">
      <x:c r="A3" s="19" t="str">
        <x:v>字段</x:v>
      </x:c>
      <x:c r="B3" s="21" t="str">
        <x:v>说明</x:v>
      </x:c>
    </x:row>
    <x:row r="4" ht="22" customHeight="1">
      <x:c r="A4" s="25" t="str">
        <x:v>订单与 SKU</x:v>
      </x:c>
      <x:c r="B4" s="25" t="str">
        <x:v>DEMO / SYN 前缀，均为虚构公开演示数据</x:v>
      </x:c>
    </x:row>
    <x:row r="5" ht="22" customHeight="1">
      <x:c r="A5" s="26" t="str">
        <x:v>需求数量</x:v>
      </x:c>
      <x:c r="B5" s="26" t="str">
        <x:v>用于覆盖小批量、常规批量和较大批量</x:v>
      </x:c>
    </x:row>
    <x:row r="6" ht="22" customHeight="1">
      <x:c r="A6" s="26" t="str">
        <x:v>版面容量</x:v>
      </x:c>
      <x:c r="B6" s="26" t="str">
        <x:v>按三个演示尺寸分别设置为 48 / 30 / 20</x:v>
      </x:c>
    </x:row>
    <x:row r="7" ht="22" customHeight="1">
      <x:c r="A7" s="26" t="str">
        <x:v>冗余率</x:v>
      </x:c>
      <x:c r="B7" s="26" t="str">
        <x:v>统一 5%，仅用于演示公式结构</x:v>
      </x:c>
    </x:row>
    <x:row r="8" ht="22" customHeight="1">
      <x:c r="A8" s="26" t="str">
        <x:v>材料成本</x:v>
      </x:c>
      <x:c r="B8" s="26" t="str">
        <x:v>虚构估算值，不作为报价依据</x:v>
      </x:c>
    </x:row>
    <x:row r="9" ht="22" customHeight="1">
      <x:c r="A9" s="26" t="str">
        <x:v>输出性质</x:v>
      </x:c>
      <x:c r="B9" s="26" t="str">
        <x:v>网站演示结构样例，并非软件真实导出或客户项目证明</x:v>
      </x:c>
    </x:row>
  </x:sheetData>
  <x:mergeCells>
    <x:mergeCell ref="A1:F1"/>
  </x:mergeCells>
  <x:pageMargins left="0.7" right="0.7" top="0.75" bottom="0.75" header="0.3" footer="0.3"/>
</x:worksheet>
</file>