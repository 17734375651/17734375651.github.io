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b9c72ed8d847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来源订单" sheetId="1" r:id="R0aed5d2ded3f49b6"/>
    <x:sheet xmlns:r="http://schemas.openxmlformats.org/officeDocument/2006/relationships" name="排版计划" sheetId="2" r:id="R8996db884d17413d"/>
    <x:sheet xmlns:r="http://schemas.openxmlformats.org/officeDocument/2006/relationships" name="成本复核" sheetId="3" r:id="Rf7852c1181e5446f"/>
    <x:sheet xmlns:r="http://schemas.openxmlformats.org/officeDocument/2006/relationships" name="说明" sheetId="4" r:id="Re7ce8b0df6e145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0"/>
  </x:numFmts>
  <x:fonts count="5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sz val="10"/>
      <x:color rgb="FF1E2926"/>
      <x:name val="Carlito"/>
    </x:font>
    <x:font>
      <x:i/>
      <x:sz val="10"/>
      <x:color rgb="FF1E2926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486A2E"/>
      </x:patternFill>
    </x:fill>
    <x:fill>
      <x:patternFill patternType="solid">
        <x:fgColor rgb="FF739E45"/>
      </x:patternFill>
    </x:fill>
    <x:fill>
      <x:patternFill patternType="solid">
        <x:fgColor rgb="FFEFF6E7"/>
      </x:patternFill>
    </x:fill>
  </x:fills>
  <x:borders count="6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D8DED8"/>
      </x:bottom>
    </x:border>
    <x:border>
      <x:top style="thin">
        <x:color rgb="FFD8DED8"/>
      </x:top>
      <x:bottom style="thin">
        <x:color rgb="FFD8DED8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4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/>
    </x:xf>
    <x:xf numFmtId="200" fontId="3" fillId="0" borderId="4" xfId="0" applyNumberFormat="1" applyFont="1" applyFill="1" applyBorder="1" applyAlignment="1">
      <x:alignment vertical="center"/>
    </x:xf>
    <x:xf numFmtId="200" fontId="3" fillId="0" borderId="5" xfId="0" applyNumberFormat="1" applyFont="1" applyFill="1" applyBorder="1" applyAlignment="1">
      <x:alignment vertical="center"/>
    </x:xf>
    <x:xf numFmtId="201" fontId="3" fillId="0" borderId="4" xfId="0" applyNumberFormat="1" applyFont="1" applyFill="1" applyBorder="1" applyAlignment="1">
      <x:alignment vertical="center"/>
    </x:xf>
    <x:xf numFmtId="201" fontId="3" fillId="0" borderId="5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cdc691b75d4e0c" /><Relationship Type="http://schemas.openxmlformats.org/officeDocument/2006/relationships/theme" Target="/xl/theme/theme1.xml" Id="Rd5bc8c40b9e14d15" /><Relationship Type="http://schemas.openxmlformats.org/officeDocument/2006/relationships/sharedStrings" Target="/xl/sharedStrings.xml" Id="Re5c91e04fb3340bc" /><Relationship Type="http://schemas.openxmlformats.org/officeDocument/2006/relationships/worksheet" Target="/xl/worksheets/sheet1.xml" Id="R0aed5d2ded3f49b6" /><Relationship Type="http://schemas.openxmlformats.org/officeDocument/2006/relationships/worksheet" Target="/xl/worksheets/sheet2.xml" Id="R8996db884d17413d" /><Relationship Type="http://schemas.openxmlformats.org/officeDocument/2006/relationships/worksheet" Target="/xl/worksheets/sheet3.xml" Id="Rf7852c1181e5446f" /><Relationship Type="http://schemas.openxmlformats.org/officeDocument/2006/relationships/worksheet" Target="/xl/worksheets/sheet4.xml" Id="Re7ce8b0df6e1453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20" hidden="0" customWidth="1"/>
    <x:col min="4" max="4" width="13" hidden="0" customWidth="1"/>
    <x:col min="5" max="5" width="12" hidden="0" customWidth="1"/>
    <x:col min="6" max="6" width="11" hidden="0" customWidth="1"/>
    <x:col min="7" max="7" width="13" hidden="0" customWidth="1"/>
    <x:col min="8" max="8" width="16" hidden="0" customWidth="1"/>
  </x:cols>
  <x:sheetData>
    <x:row r="1" ht="34" customHeight="1">
      <x:c r="A1" s="3" t="str">
        <x:v>来源订单｜全部为虚构演示数据</x:v>
      </x:c>
      <x:c r="B1" s="3" t="str">
        <x:v>来源订单｜全部为虚构演示数据</x:v>
      </x:c>
      <x:c r="C1" s="3" t="str">
        <x:v>来源订单｜全部为虚构演示数据</x:v>
      </x:c>
      <x:c r="D1" s="3" t="str">
        <x:v>来源订单｜全部为虚构演示数据</x:v>
      </x:c>
      <x:c r="E1" s="3" t="str">
        <x:v>来源订单｜全部为虚构演示数据</x:v>
      </x:c>
      <x:c r="F1" s="3" t="str">
        <x:v>来源订单｜全部为虚构演示数据</x:v>
      </x:c>
      <x:c r="G1" s="3" t="str">
        <x:v>来源订单｜全部为虚构演示数据</x:v>
      </x:c>
      <x:c r="H1" s="3" t="str">
        <x:v>来源订单｜全部为虚构演示数据</x:v>
      </x:c>
    </x:row>
    <x:row r="3" ht="30" customHeight="1">
      <x:c r="A3" s="15" t="str">
        <x:v>订单编号</x:v>
      </x:c>
      <x:c r="B3" s="16" t="str">
        <x:v>虚构 SKU</x:v>
      </x:c>
      <x:c r="C3" s="16" t="str">
        <x:v>演示品名</x:v>
      </x:c>
      <x:c r="D3" s="16" t="str">
        <x:v>尺寸 mm</x:v>
      </x:c>
      <x:c r="E3" s="16" t="str">
        <x:v>需求数量</x:v>
      </x:c>
      <x:c r="F3" s="16" t="str">
        <x:v>版面容量</x:v>
      </x:c>
      <x:c r="G3" s="16" t="str">
        <x:v>材料</x:v>
      </x:c>
      <x:c r="H3" s="17" t="str">
        <x:v>单张材料成本</x:v>
      </x:c>
    </x:row>
    <x:row r="4" ht="22" customHeight="1">
      <x:c r="A4" s="21" t="str">
        <x:v>DEMO-LBL-001</x:v>
      </x:c>
      <x:c r="B4" s="21" t="str">
        <x:v>SYN-LBL-060-01</x:v>
      </x:c>
      <x:c r="C4" s="21" t="str">
        <x:v>虚构样品·晨曦 01</x:v>
      </x:c>
      <x:c r="D4" s="21" t="str">
        <x:v>60x40</x:v>
      </x:c>
      <x:c r="E4" s="23" t="n">
        <x:v>1200</x:v>
      </x:c>
      <x:c r="F4" s="23" t="n">
        <x:v>48</x:v>
      </x:c>
      <x:c r="G4" s="21" t="str">
        <x:v>铜版纸</x:v>
      </x:c>
      <x:c r="H4" s="25" t="n">
        <x:v>1.85</x:v>
      </x:c>
    </x:row>
    <x:row r="5" ht="22" customHeight="1">
      <x:c r="A5" s="22" t="str">
        <x:v>DEMO-LBL-002</x:v>
      </x:c>
      <x:c r="B5" s="22" t="str">
        <x:v>SYN-LBL-060-02</x:v>
      </x:c>
      <x:c r="C5" s="22" t="str">
        <x:v>虚构样品·晨曦 02</x:v>
      </x:c>
      <x:c r="D5" s="22" t="str">
        <x:v>60x40</x:v>
      </x:c>
      <x:c r="E5" s="24" t="n">
        <x:v>850</x:v>
      </x:c>
      <x:c r="F5" s="24" t="n">
        <x:v>48</x:v>
      </x:c>
      <x:c r="G5" s="22" t="str">
        <x:v>铜版纸</x:v>
      </x:c>
      <x:c r="H5" s="26" t="n">
        <x:v>1.85</x:v>
      </x:c>
    </x:row>
    <x:row r="6" ht="22" customHeight="1">
      <x:c r="A6" s="22" t="str">
        <x:v>DEMO-LBL-003</x:v>
      </x:c>
      <x:c r="B6" s="22" t="str">
        <x:v>SYN-LBL-060-03</x:v>
      </x:c>
      <x:c r="C6" s="22" t="str">
        <x:v>虚构样品·晨曦 03</x:v>
      </x:c>
      <x:c r="D6" s="22" t="str">
        <x:v>60x40</x:v>
      </x:c>
      <x:c r="E6" s="24" t="n">
        <x:v>2360</x:v>
      </x:c>
      <x:c r="F6" s="24" t="n">
        <x:v>48</x:v>
      </x:c>
      <x:c r="G6" s="22" t="str">
        <x:v>铜版纸</x:v>
      </x:c>
      <x:c r="H6" s="26" t="n">
        <x:v>1.85</x:v>
      </x:c>
    </x:row>
    <x:row r="7" ht="22" customHeight="1">
      <x:c r="A7" s="22" t="str">
        <x:v>DEMO-LBL-004</x:v>
      </x:c>
      <x:c r="B7" s="22" t="str">
        <x:v>SYN-LBL-060-04</x:v>
      </x:c>
      <x:c r="C7" s="22" t="str">
        <x:v>虚构样品·晨曦 04</x:v>
      </x:c>
      <x:c r="D7" s="22" t="str">
        <x:v>60x40</x:v>
      </x:c>
      <x:c r="E7" s="24" t="n">
        <x:v>480</x:v>
      </x:c>
      <x:c r="F7" s="24" t="n">
        <x:v>48</x:v>
      </x:c>
      <x:c r="G7" s="22" t="str">
        <x:v>铜版纸</x:v>
      </x:c>
      <x:c r="H7" s="26" t="n">
        <x:v>1.85</x:v>
      </x:c>
    </x:row>
    <x:row r="8" ht="22" customHeight="1">
      <x:c r="A8" s="22" t="str">
        <x:v>DEMO-LBL-005</x:v>
      </x:c>
      <x:c r="B8" s="22" t="str">
        <x:v>SYN-LBL-060-05</x:v>
      </x:c>
      <x:c r="C8" s="22" t="str">
        <x:v>虚构样品·晨曦 05</x:v>
      </x:c>
      <x:c r="D8" s="22" t="str">
        <x:v>60x40</x:v>
      </x:c>
      <x:c r="E8" s="24" t="n">
        <x:v>1750</x:v>
      </x:c>
      <x:c r="F8" s="24" t="n">
        <x:v>48</x:v>
      </x:c>
      <x:c r="G8" s="22" t="str">
        <x:v>铜版纸</x:v>
      </x:c>
      <x:c r="H8" s="26" t="n">
        <x:v>1.85</x:v>
      </x:c>
    </x:row>
    <x:row r="9" ht="22" customHeight="1">
      <x:c r="A9" s="22" t="str">
        <x:v>DEMO-LBL-006</x:v>
      </x:c>
      <x:c r="B9" s="22" t="str">
        <x:v>SYN-LBL-060-06</x:v>
      </x:c>
      <x:c r="C9" s="22" t="str">
        <x:v>虚构样品·晨曦 06</x:v>
      </x:c>
      <x:c r="D9" s="22" t="str">
        <x:v>60x40</x:v>
      </x:c>
      <x:c r="E9" s="24" t="n">
        <x:v>920</x:v>
      </x:c>
      <x:c r="F9" s="24" t="n">
        <x:v>48</x:v>
      </x:c>
      <x:c r="G9" s="22" t="str">
        <x:v>铜版纸</x:v>
      </x:c>
      <x:c r="H9" s="26" t="n">
        <x:v>1.85</x:v>
      </x:c>
    </x:row>
    <x:row r="10" ht="22" customHeight="1">
      <x:c r="A10" s="22" t="str">
        <x:v>DEMO-LBL-007</x:v>
      </x:c>
      <x:c r="B10" s="22" t="str">
        <x:v>SYN-LBL-060-07</x:v>
      </x:c>
      <x:c r="C10" s="22" t="str">
        <x:v>虚构样品·晨曦 07</x:v>
      </x:c>
      <x:c r="D10" s="22" t="str">
        <x:v>60x40</x:v>
      </x:c>
      <x:c r="E10" s="24" t="n">
        <x:v>3100</x:v>
      </x:c>
      <x:c r="F10" s="24" t="n">
        <x:v>48</x:v>
      </x:c>
      <x:c r="G10" s="22" t="str">
        <x:v>铜版纸</x:v>
      </x:c>
      <x:c r="H10" s="26" t="n">
        <x:v>1.85</x:v>
      </x:c>
    </x:row>
    <x:row r="11" ht="22" customHeight="1">
      <x:c r="A11" s="22" t="str">
        <x:v>DEMO-LBL-008</x:v>
      </x:c>
      <x:c r="B11" s="22" t="str">
        <x:v>SYN-LBL-060-08</x:v>
      </x:c>
      <x:c r="C11" s="22" t="str">
        <x:v>虚构样品·晨曦 08</x:v>
      </x:c>
      <x:c r="D11" s="22" t="str">
        <x:v>60x40</x:v>
      </x:c>
      <x:c r="E11" s="24" t="n">
        <x:v>640</x:v>
      </x:c>
      <x:c r="F11" s="24" t="n">
        <x:v>48</x:v>
      </x:c>
      <x:c r="G11" s="22" t="str">
        <x:v>铜版纸</x:v>
      </x:c>
      <x:c r="H11" s="26" t="n">
        <x:v>1.85</x:v>
      </x:c>
    </x:row>
    <x:row r="12" ht="22" customHeight="1">
      <x:c r="A12" s="22" t="str">
        <x:v>DEMO-LBL-009</x:v>
      </x:c>
      <x:c r="B12" s="22" t="str">
        <x:v>SYN-LBL-080-01</x:v>
      </x:c>
      <x:c r="C12" s="22" t="str">
        <x:v>虚构样品·星河 01</x:v>
      </x:c>
      <x:c r="D12" s="22" t="str">
        <x:v>80x50</x:v>
      </x:c>
      <x:c r="E12" s="24" t="n">
        <x:v>800</x:v>
      </x:c>
      <x:c r="F12" s="24" t="n">
        <x:v>30</x:v>
      </x:c>
      <x:c r="G12" s="22" t="str">
        <x:v>合成纸</x:v>
      </x:c>
      <x:c r="H12" s="26" t="n">
        <x:v>2.1</x:v>
      </x:c>
    </x:row>
    <x:row r="13" ht="22" customHeight="1">
      <x:c r="A13" s="22" t="str">
        <x:v>DEMO-LBL-010</x:v>
      </x:c>
      <x:c r="B13" s="22" t="str">
        <x:v>SYN-LBL-080-02</x:v>
      </x:c>
      <x:c r="C13" s="22" t="str">
        <x:v>虚构样品·星河 02</x:v>
      </x:c>
      <x:c r="D13" s="22" t="str">
        <x:v>80x50</x:v>
      </x:c>
      <x:c r="E13" s="24" t="n">
        <x:v>1560</x:v>
      </x:c>
      <x:c r="F13" s="24" t="n">
        <x:v>30</x:v>
      </x:c>
      <x:c r="G13" s="22" t="str">
        <x:v>合成纸</x:v>
      </x:c>
      <x:c r="H13" s="26" t="n">
        <x:v>2.1</x:v>
      </x:c>
    </x:row>
    <x:row r="14" ht="22" customHeight="1">
      <x:c r="A14" s="22" t="str">
        <x:v>DEMO-LBL-011</x:v>
      </x:c>
      <x:c r="B14" s="22" t="str">
        <x:v>SYN-LBL-080-03</x:v>
      </x:c>
      <x:c r="C14" s="22" t="str">
        <x:v>虚构样品·星河 03</x:v>
      </x:c>
      <x:c r="D14" s="22" t="str">
        <x:v>80x50</x:v>
      </x:c>
      <x:c r="E14" s="24" t="n">
        <x:v>420</x:v>
      </x:c>
      <x:c r="F14" s="24" t="n">
        <x:v>30</x:v>
      </x:c>
      <x:c r="G14" s="22" t="str">
        <x:v>合成纸</x:v>
      </x:c>
      <x:c r="H14" s="26" t="n">
        <x:v>2.1</x:v>
      </x:c>
    </x:row>
    <x:row r="15" ht="22" customHeight="1">
      <x:c r="A15" s="22" t="str">
        <x:v>DEMO-LBL-012</x:v>
      </x:c>
      <x:c r="B15" s="22" t="str">
        <x:v>SYN-LBL-080-04</x:v>
      </x:c>
      <x:c r="C15" s="22" t="str">
        <x:v>虚构样品·星河 04</x:v>
      </x:c>
      <x:c r="D15" s="22" t="str">
        <x:v>80x50</x:v>
      </x:c>
      <x:c r="E15" s="24" t="n">
        <x:v>2050</x:v>
      </x:c>
      <x:c r="F15" s="24" t="n">
        <x:v>30</x:v>
      </x:c>
      <x:c r="G15" s="22" t="str">
        <x:v>合成纸</x:v>
      </x:c>
      <x:c r="H15" s="26" t="n">
        <x:v>2.1</x:v>
      </x:c>
    </x:row>
    <x:row r="16" ht="22" customHeight="1">
      <x:c r="A16" s="22" t="str">
        <x:v>DEMO-LBL-013</x:v>
      </x:c>
      <x:c r="B16" s="22" t="str">
        <x:v>SYN-LBL-080-05</x:v>
      </x:c>
      <x:c r="C16" s="22" t="str">
        <x:v>虚构样品·星河 05</x:v>
      </x:c>
      <x:c r="D16" s="22" t="str">
        <x:v>80x50</x:v>
      </x:c>
      <x:c r="E16" s="24" t="n">
        <x:v>975</x:v>
      </x:c>
      <x:c r="F16" s="24" t="n">
        <x:v>30</x:v>
      </x:c>
      <x:c r="G16" s="22" t="str">
        <x:v>合成纸</x:v>
      </x:c>
      <x:c r="H16" s="26" t="n">
        <x:v>2.1</x:v>
      </x:c>
    </x:row>
    <x:row r="17" ht="22" customHeight="1">
      <x:c r="A17" s="22" t="str">
        <x:v>DEMO-LBL-014</x:v>
      </x:c>
      <x:c r="B17" s="22" t="str">
        <x:v>SYN-LBL-080-06</x:v>
      </x:c>
      <x:c r="C17" s="22" t="str">
        <x:v>虚构样品·星河 06</x:v>
      </x:c>
      <x:c r="D17" s="22" t="str">
        <x:v>80x50</x:v>
      </x:c>
      <x:c r="E17" s="24" t="n">
        <x:v>1340</x:v>
      </x:c>
      <x:c r="F17" s="24" t="n">
        <x:v>30</x:v>
      </x:c>
      <x:c r="G17" s="22" t="str">
        <x:v>合成纸</x:v>
      </x:c>
      <x:c r="H17" s="26" t="n">
        <x:v>2.1</x:v>
      </x:c>
    </x:row>
    <x:row r="18" ht="22" customHeight="1">
      <x:c r="A18" s="22" t="str">
        <x:v>DEMO-LBL-015</x:v>
      </x:c>
      <x:c r="B18" s="22" t="str">
        <x:v>SYN-LBL-080-07</x:v>
      </x:c>
      <x:c r="C18" s="22" t="str">
        <x:v>虚构样品·星河 07</x:v>
      </x:c>
      <x:c r="D18" s="22" t="str">
        <x:v>80x50</x:v>
      </x:c>
      <x:c r="E18" s="24" t="n">
        <x:v>2760</x:v>
      </x:c>
      <x:c r="F18" s="24" t="n">
        <x:v>30</x:v>
      </x:c>
      <x:c r="G18" s="22" t="str">
        <x:v>合成纸</x:v>
      </x:c>
      <x:c r="H18" s="26" t="n">
        <x:v>2.1</x:v>
      </x:c>
    </x:row>
    <x:row r="19" ht="22" customHeight="1">
      <x:c r="A19" s="22" t="str">
        <x:v>DEMO-LBL-016</x:v>
      </x:c>
      <x:c r="B19" s="22" t="str">
        <x:v>SYN-LBL-080-08</x:v>
      </x:c>
      <x:c r="C19" s="22" t="str">
        <x:v>虚构样品·星河 08</x:v>
      </x:c>
      <x:c r="D19" s="22" t="str">
        <x:v>80x50</x:v>
      </x:c>
      <x:c r="E19" s="24" t="n">
        <x:v>510</x:v>
      </x:c>
      <x:c r="F19" s="24" t="n">
        <x:v>30</x:v>
      </x:c>
      <x:c r="G19" s="22" t="str">
        <x:v>合成纸</x:v>
      </x:c>
      <x:c r="H19" s="26" t="n">
        <x:v>2.1</x:v>
      </x:c>
    </x:row>
    <x:row r="20" ht="22" customHeight="1">
      <x:c r="A20" s="22" t="str">
        <x:v>DEMO-LBL-017</x:v>
      </x:c>
      <x:c r="B20" s="22" t="str">
        <x:v>SYN-LBL-100-01</x:v>
      </x:c>
      <x:c r="C20" s="22" t="str">
        <x:v>虚构样品·极光 01</x:v>
      </x:c>
      <x:c r="D20" s="22" t="str">
        <x:v>100x70</x:v>
      </x:c>
      <x:c r="E20" s="24" t="n">
        <x:v>360</x:v>
      </x:c>
      <x:c r="F20" s="24" t="n">
        <x:v>20</x:v>
      </x:c>
      <x:c r="G20" s="22" t="str">
        <x:v>哑银 PET</x:v>
      </x:c>
      <x:c r="H20" s="26" t="n">
        <x:v>2.45</x:v>
      </x:c>
    </x:row>
    <x:row r="21" ht="22" customHeight="1">
      <x:c r="A21" s="22" t="str">
        <x:v>DEMO-LBL-018</x:v>
      </x:c>
      <x:c r="B21" s="22" t="str">
        <x:v>SYN-LBL-100-02</x:v>
      </x:c>
      <x:c r="C21" s="22" t="str">
        <x:v>虚构样品·极光 02</x:v>
      </x:c>
      <x:c r="D21" s="22" t="str">
        <x:v>100x70</x:v>
      </x:c>
      <x:c r="E21" s="24" t="n">
        <x:v>820</x:v>
      </x:c>
      <x:c r="F21" s="24" t="n">
        <x:v>20</x:v>
      </x:c>
      <x:c r="G21" s="22" t="str">
        <x:v>哑银 PET</x:v>
      </x:c>
      <x:c r="H21" s="26" t="n">
        <x:v>2.45</x:v>
      </x:c>
    </x:row>
    <x:row r="22" ht="22" customHeight="1">
      <x:c r="A22" s="22" t="str">
        <x:v>DEMO-LBL-019</x:v>
      </x:c>
      <x:c r="B22" s="22" t="str">
        <x:v>SYN-LBL-100-03</x:v>
      </x:c>
      <x:c r="C22" s="22" t="str">
        <x:v>虚构样品·极光 03</x:v>
      </x:c>
      <x:c r="D22" s="22" t="str">
        <x:v>100x70</x:v>
      </x:c>
      <x:c r="E22" s="24" t="n">
        <x:v>1260</x:v>
      </x:c>
      <x:c r="F22" s="24" t="n">
        <x:v>20</x:v>
      </x:c>
      <x:c r="G22" s="22" t="str">
        <x:v>哑银 PET</x:v>
      </x:c>
      <x:c r="H22" s="26" t="n">
        <x:v>2.45</x:v>
      </x:c>
    </x:row>
    <x:row r="23" ht="22" customHeight="1">
      <x:c r="A23" s="22" t="str">
        <x:v>DEMO-LBL-020</x:v>
      </x:c>
      <x:c r="B23" s="22" t="str">
        <x:v>SYN-LBL-100-04</x:v>
      </x:c>
      <x:c r="C23" s="22" t="str">
        <x:v>虚构样品·极光 04</x:v>
      </x:c>
      <x:c r="D23" s="22" t="str">
        <x:v>100x70</x:v>
      </x:c>
      <x:c r="E23" s="24" t="n">
        <x:v>540</x:v>
      </x:c>
      <x:c r="F23" s="24" t="n">
        <x:v>20</x:v>
      </x:c>
      <x:c r="G23" s="22" t="str">
        <x:v>哑银 PET</x:v>
      </x:c>
      <x:c r="H23" s="26" t="n">
        <x:v>2.45</x:v>
      </x:c>
    </x:row>
    <x:row r="24" ht="22" customHeight="1">
      <x:c r="A24" s="22" t="str">
        <x:v>DEMO-LBL-021</x:v>
      </x:c>
      <x:c r="B24" s="22" t="str">
        <x:v>SYN-LBL-100-05</x:v>
      </x:c>
      <x:c r="C24" s="22" t="str">
        <x:v>虚构样品·极光 05</x:v>
      </x:c>
      <x:c r="D24" s="22" t="str">
        <x:v>100x70</x:v>
      </x:c>
      <x:c r="E24" s="24" t="n">
        <x:v>1740</x:v>
      </x:c>
      <x:c r="F24" s="24" t="n">
        <x:v>20</x:v>
      </x:c>
      <x:c r="G24" s="22" t="str">
        <x:v>哑银 PET</x:v>
      </x:c>
      <x:c r="H24" s="26" t="n">
        <x:v>2.45</x:v>
      </x:c>
    </x:row>
    <x:row r="25" ht="22" customHeight="1">
      <x:c r="A25" s="22" t="str">
        <x:v>DEMO-LBL-022</x:v>
      </x:c>
      <x:c r="B25" s="22" t="str">
        <x:v>SYN-LBL-100-06</x:v>
      </x:c>
      <x:c r="C25" s="22" t="str">
        <x:v>虚构样品·极光 06</x:v>
      </x:c>
      <x:c r="D25" s="22" t="str">
        <x:v>100x70</x:v>
      </x:c>
      <x:c r="E25" s="24" t="n">
        <x:v>960</x:v>
      </x:c>
      <x:c r="F25" s="24" t="n">
        <x:v>20</x:v>
      </x:c>
      <x:c r="G25" s="22" t="str">
        <x:v>哑银 PET</x:v>
      </x:c>
      <x:c r="H25" s="26" t="n">
        <x:v>2.45</x:v>
      </x:c>
    </x:row>
    <x:row r="26" ht="22" customHeight="1">
      <x:c r="A26" s="22" t="str">
        <x:v>DEMO-LBL-023</x:v>
      </x:c>
      <x:c r="B26" s="22" t="str">
        <x:v>SYN-LBL-100-07</x:v>
      </x:c>
      <x:c r="C26" s="22" t="str">
        <x:v>虚构样品·极光 07</x:v>
      </x:c>
      <x:c r="D26" s="22" t="str">
        <x:v>100x70</x:v>
      </x:c>
      <x:c r="E26" s="24" t="n">
        <x:v>2200</x:v>
      </x:c>
      <x:c r="F26" s="24" t="n">
        <x:v>20</x:v>
      </x:c>
      <x:c r="G26" s="22" t="str">
        <x:v>哑银 PET</x:v>
      </x:c>
      <x:c r="H26" s="26" t="n">
        <x:v>2.45</x:v>
      </x:c>
    </x:row>
    <x:row r="27" ht="22" customHeight="1">
      <x:c r="A27" s="22" t="str">
        <x:v>DEMO-LBL-024</x:v>
      </x:c>
      <x:c r="B27" s="22" t="str">
        <x:v>SYN-LBL-100-08</x:v>
      </x:c>
      <x:c r="C27" s="22" t="str">
        <x:v>虚构样品·极光 08</x:v>
      </x:c>
      <x:c r="D27" s="22" t="str">
        <x:v>100x70</x:v>
      </x:c>
      <x:c r="E27" s="24" t="n">
        <x:v>680</x:v>
      </x:c>
      <x:c r="F27" s="24" t="n">
        <x:v>20</x:v>
      </x:c>
      <x:c r="G27" s="22" t="str">
        <x:v>哑银 PET</x:v>
      </x:c>
      <x:c r="H27" s="26" t="n">
        <x:v>2.45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12" hidden="0" customWidth="1"/>
    <x:col min="4" max="4" width="12" hidden="0" customWidth="1"/>
    <x:col min="5" max="5" width="14" hidden="0" customWidth="1"/>
    <x:col min="6" max="6" width="11" hidden="0" customWidth="1"/>
    <x:col min="7" max="7" width="11" hidden="0" customWidth="1"/>
    <x:col min="8" max="8" width="12" hidden="0" customWidth="1"/>
    <x:col min="9" max="9" width="10" hidden="0" customWidth="1"/>
    <x:col min="10" max="10" width="11" hidden="0" customWidth="1"/>
  </x:cols>
  <x:sheetData>
    <x:row r="1" ht="34" customHeight="1">
      <x:c r="A1" s="3" t="str">
        <x:v>排版计划｜结构示例</x:v>
      </x:c>
      <x:c r="B1" s="3" t="str">
        <x:v>排版计划｜结构示例</x:v>
      </x:c>
      <x:c r="C1" s="3" t="str">
        <x:v>排版计划｜结构示例</x:v>
      </x:c>
      <x:c r="D1" s="3" t="str">
        <x:v>排版计划｜结构示例</x:v>
      </x:c>
      <x:c r="E1" s="3" t="str">
        <x:v>排版计划｜结构示例</x:v>
      </x:c>
      <x:c r="F1" s="3" t="str">
        <x:v>排版计划｜结构示例</x:v>
      </x:c>
      <x:c r="G1" s="3" t="str">
        <x:v>排版计划｜结构示例</x:v>
      </x:c>
      <x:c r="H1" s="3" t="str">
        <x:v>排版计划｜结构示例</x:v>
      </x:c>
      <x:c r="I1" s="3" t="str">
        <x:v>排版计划｜结构示例</x:v>
      </x:c>
      <x:c r="J1" s="3" t="str">
        <x:v>排版计划｜结构示例</x:v>
      </x:c>
    </x:row>
    <x:row r="2" ht="38" customHeight="1">
      <x:c r="A2" s="30" t="str">
        <x:v>公式基于“来源订单”与统一 5% 冗余率计算。此工作簿展示输出结构，不声称由成品软件实际导出。</x:v>
      </x:c>
      <x:c r="B2" s="30" t="str">
        <x:v>公式基于“来源订单”与统一 5% 冗余率计算。此工作簿展示输出结构，不声称由成品软件实际导出。</x:v>
      </x:c>
      <x:c r="C2" s="30" t="str">
        <x:v>公式基于“来源订单”与统一 5% 冗余率计算。此工作簿展示输出结构，不声称由成品软件实际导出。</x:v>
      </x:c>
      <x:c r="D2" s="30" t="str">
        <x:v>公式基于“来源订单”与统一 5% 冗余率计算。此工作簿展示输出结构，不声称由成品软件实际导出。</x:v>
      </x:c>
      <x:c r="E2" s="30" t="str">
        <x:v>公式基于“来源订单”与统一 5% 冗余率计算。此工作簿展示输出结构，不声称由成品软件实际导出。</x:v>
      </x:c>
      <x:c r="F2" s="30" t="str">
        <x:v>公式基于“来源订单”与统一 5% 冗余率计算。此工作簿展示输出结构，不声称由成品软件实际导出。</x:v>
      </x:c>
      <x:c r="G2" s="30" t="str">
        <x:v>公式基于“来源订单”与统一 5% 冗余率计算。此工作簿展示输出结构，不声称由成品软件实际导出。</x:v>
      </x:c>
      <x:c r="H2" s="30" t="str">
        <x:v>公式基于“来源订单”与统一 5% 冗余率计算。此工作簿展示输出结构，不声称由成品软件实际导出。</x:v>
      </x:c>
      <x:c r="I2" s="30" t="str">
        <x:v>公式基于“来源订单”与统一 5% 冗余率计算。此工作簿展示输出结构，不声称由成品软件实际导出。</x:v>
      </x:c>
      <x:c r="J2" s="30" t="str">
        <x:v>公式基于“来源订单”与统一 5% 冗余率计算。此工作簿展示输出结构，不声称由成品软件实际导出。</x:v>
      </x:c>
    </x:row>
    <x:row r="4" ht="30" customHeight="1">
      <x:c r="A4" s="15" t="str">
        <x:v>订单编号</x:v>
      </x:c>
      <x:c r="B4" s="16" t="str">
        <x:v>虚构 SKU</x:v>
      </x:c>
      <x:c r="C4" s="16" t="str">
        <x:v>尺寸 mm</x:v>
      </x:c>
      <x:c r="D4" s="16" t="str">
        <x:v>需求数量</x:v>
      </x:c>
      <x:c r="E4" s="16" t="str">
        <x:v>冗余后数量</x:v>
      </x:c>
      <x:c r="F4" s="16" t="str">
        <x:v>版面容量</x:v>
      </x:c>
      <x:c r="G4" s="16" t="str">
        <x:v>计划印张</x:v>
      </x:c>
      <x:c r="H4" s="16" t="str">
        <x:v>计划产能</x:v>
      </x:c>
      <x:c r="I4" s="16" t="str">
        <x:v>余量</x:v>
      </x:c>
      <x:c r="J4" s="17" t="str">
        <x:v>检查</x:v>
      </x:c>
    </x:row>
    <x:row r="5" ht="22" customHeight="1">
      <x:c r="A5" s="21" t="str">
        <x:f>'来源订单'!A4</x:f>
        <x:v>DEMO-LBL-001</x:v>
      </x:c>
      <x:c r="B5" s="21" t="str">
        <x:f>'来源订单'!B4</x:f>
        <x:v>SYN-LBL-060-01</x:v>
      </x:c>
      <x:c r="C5" s="21" t="str">
        <x:f>'来源订单'!D4</x:f>
        <x:v>60x40</x:v>
      </x:c>
      <x:c r="D5" s="23" t="n">
        <x:f>'来源订单'!E4</x:f>
        <x:v>1200</x:v>
      </x:c>
      <x:c r="E5" s="23" t="n">
        <x:f>ROUNDUP(D5*1.05,0)</x:f>
        <x:v>1260</x:v>
      </x:c>
      <x:c r="F5" s="23" t="n">
        <x:f>'来源订单'!F4</x:f>
        <x:v>48</x:v>
      </x:c>
      <x:c r="G5" s="23" t="n">
        <x:f>CEILING(E5/F5,1)</x:f>
        <x:v>27</x:v>
      </x:c>
      <x:c r="H5" s="23" t="n">
        <x:f>G5*F5</x:f>
        <x:v>1296</x:v>
      </x:c>
      <x:c r="I5" s="23" t="n">
        <x:f>H5-D5</x:f>
        <x:v>96</x:v>
      </x:c>
      <x:c r="J5" s="21" t="str">
        <x:f>IF(I5&gt;=0,"PASS","CHECK")</x:f>
        <x:v>PASS</x:v>
      </x:c>
    </x:row>
    <x:row r="6" ht="22" customHeight="1">
      <x:c r="A6" s="22" t="str">
        <x:f>'来源订单'!A5</x:f>
        <x:v>DEMO-LBL-002</x:v>
      </x:c>
      <x:c r="B6" s="22" t="str">
        <x:f>'来源订单'!B5</x:f>
        <x:v>SYN-LBL-060-02</x:v>
      </x:c>
      <x:c r="C6" s="22" t="str">
        <x:f>'来源订单'!D5</x:f>
        <x:v>60x40</x:v>
      </x:c>
      <x:c r="D6" s="24" t="n">
        <x:f>'来源订单'!E5</x:f>
        <x:v>850</x:v>
      </x:c>
      <x:c r="E6" s="24" t="n">
        <x:f>ROUNDUP(D6*1.05,0)</x:f>
        <x:v>893</x:v>
      </x:c>
      <x:c r="F6" s="24" t="n">
        <x:f>'来源订单'!F5</x:f>
        <x:v>48</x:v>
      </x:c>
      <x:c r="G6" s="24" t="n">
        <x:f>CEILING(E6/F6,1)</x:f>
        <x:v>19</x:v>
      </x:c>
      <x:c r="H6" s="24" t="n">
        <x:f>G6*F6</x:f>
        <x:v>912</x:v>
      </x:c>
      <x:c r="I6" s="24" t="n">
        <x:f>H6-D6</x:f>
        <x:v>62</x:v>
      </x:c>
      <x:c r="J6" s="22" t="str">
        <x:f>IF(I6&gt;=0,"PASS","CHECK")</x:f>
        <x:v>PASS</x:v>
      </x:c>
    </x:row>
    <x:row r="7" ht="22" customHeight="1">
      <x:c r="A7" s="22" t="str">
        <x:f>'来源订单'!A6</x:f>
        <x:v>DEMO-LBL-003</x:v>
      </x:c>
      <x:c r="B7" s="22" t="str">
        <x:f>'来源订单'!B6</x:f>
        <x:v>SYN-LBL-060-03</x:v>
      </x:c>
      <x:c r="C7" s="22" t="str">
        <x:f>'来源订单'!D6</x:f>
        <x:v>60x40</x:v>
      </x:c>
      <x:c r="D7" s="24" t="n">
        <x:f>'来源订单'!E6</x:f>
        <x:v>2360</x:v>
      </x:c>
      <x:c r="E7" s="24" t="n">
        <x:f>ROUNDUP(D7*1.05,0)</x:f>
        <x:v>2478</x:v>
      </x:c>
      <x:c r="F7" s="24" t="n">
        <x:f>'来源订单'!F6</x:f>
        <x:v>48</x:v>
      </x:c>
      <x:c r="G7" s="24" t="n">
        <x:f>CEILING(E7/F7,1)</x:f>
        <x:v>52</x:v>
      </x:c>
      <x:c r="H7" s="24" t="n">
        <x:f>G7*F7</x:f>
        <x:v>2496</x:v>
      </x:c>
      <x:c r="I7" s="24" t="n">
        <x:f>H7-D7</x:f>
        <x:v>136</x:v>
      </x:c>
      <x:c r="J7" s="22" t="str">
        <x:f>IF(I7&gt;=0,"PASS","CHECK")</x:f>
        <x:v>PASS</x:v>
      </x:c>
    </x:row>
    <x:row r="8" ht="22" customHeight="1">
      <x:c r="A8" s="22" t="str">
        <x:f>'来源订单'!A7</x:f>
        <x:v>DEMO-LBL-004</x:v>
      </x:c>
      <x:c r="B8" s="22" t="str">
        <x:f>'来源订单'!B7</x:f>
        <x:v>SYN-LBL-060-04</x:v>
      </x:c>
      <x:c r="C8" s="22" t="str">
        <x:f>'来源订单'!D7</x:f>
        <x:v>60x40</x:v>
      </x:c>
      <x:c r="D8" s="24" t="n">
        <x:f>'来源订单'!E7</x:f>
        <x:v>480</x:v>
      </x:c>
      <x:c r="E8" s="24" t="n">
        <x:f>ROUNDUP(D8*1.05,0)</x:f>
        <x:v>504</x:v>
      </x:c>
      <x:c r="F8" s="24" t="n">
        <x:f>'来源订单'!F7</x:f>
        <x:v>48</x:v>
      </x:c>
      <x:c r="G8" s="24" t="n">
        <x:f>CEILING(E8/F8,1)</x:f>
        <x:v>11</x:v>
      </x:c>
      <x:c r="H8" s="24" t="n">
        <x:f>G8*F8</x:f>
        <x:v>528</x:v>
      </x:c>
      <x:c r="I8" s="24" t="n">
        <x:f>H8-D8</x:f>
        <x:v>48</x:v>
      </x:c>
      <x:c r="J8" s="22" t="str">
        <x:f>IF(I8&gt;=0,"PASS","CHECK")</x:f>
        <x:v>PASS</x:v>
      </x:c>
    </x:row>
    <x:row r="9" ht="22" customHeight="1">
      <x:c r="A9" s="22" t="str">
        <x:f>'来源订单'!A8</x:f>
        <x:v>DEMO-LBL-005</x:v>
      </x:c>
      <x:c r="B9" s="22" t="str">
        <x:f>'来源订单'!B8</x:f>
        <x:v>SYN-LBL-060-05</x:v>
      </x:c>
      <x:c r="C9" s="22" t="str">
        <x:f>'来源订单'!D8</x:f>
        <x:v>60x40</x:v>
      </x:c>
      <x:c r="D9" s="24" t="n">
        <x:f>'来源订单'!E8</x:f>
        <x:v>1750</x:v>
      </x:c>
      <x:c r="E9" s="24" t="n">
        <x:f>ROUNDUP(D9*1.05,0)</x:f>
        <x:v>1838</x:v>
      </x:c>
      <x:c r="F9" s="24" t="n">
        <x:f>'来源订单'!F8</x:f>
        <x:v>48</x:v>
      </x:c>
      <x:c r="G9" s="24" t="n">
        <x:f>CEILING(E9/F9,1)</x:f>
        <x:v>39</x:v>
      </x:c>
      <x:c r="H9" s="24" t="n">
        <x:f>G9*F9</x:f>
        <x:v>1872</x:v>
      </x:c>
      <x:c r="I9" s="24" t="n">
        <x:f>H9-D9</x:f>
        <x:v>122</x:v>
      </x:c>
      <x:c r="J9" s="22" t="str">
        <x:f>IF(I9&gt;=0,"PASS","CHECK")</x:f>
        <x:v>PASS</x:v>
      </x:c>
    </x:row>
    <x:row r="10" ht="22" customHeight="1">
      <x:c r="A10" s="22" t="str">
        <x:f>'来源订单'!A9</x:f>
        <x:v>DEMO-LBL-006</x:v>
      </x:c>
      <x:c r="B10" s="22" t="str">
        <x:f>'来源订单'!B9</x:f>
        <x:v>SYN-LBL-060-06</x:v>
      </x:c>
      <x:c r="C10" s="22" t="str">
        <x:f>'来源订单'!D9</x:f>
        <x:v>60x40</x:v>
      </x:c>
      <x:c r="D10" s="24" t="n">
        <x:f>'来源订单'!E9</x:f>
        <x:v>920</x:v>
      </x:c>
      <x:c r="E10" s="24" t="n">
        <x:f>ROUNDUP(D10*1.05,0)</x:f>
        <x:v>966</x:v>
      </x:c>
      <x:c r="F10" s="24" t="n">
        <x:f>'来源订单'!F9</x:f>
        <x:v>48</x:v>
      </x:c>
      <x:c r="G10" s="24" t="n">
        <x:f>CEILING(E10/F10,1)</x:f>
        <x:v>21</x:v>
      </x:c>
      <x:c r="H10" s="24" t="n">
        <x:f>G10*F10</x:f>
        <x:v>1008</x:v>
      </x:c>
      <x:c r="I10" s="24" t="n">
        <x:f>H10-D10</x:f>
        <x:v>88</x:v>
      </x:c>
      <x:c r="J10" s="22" t="str">
        <x:f>IF(I10&gt;=0,"PASS","CHECK")</x:f>
        <x:v>PASS</x:v>
      </x:c>
    </x:row>
    <x:row r="11" ht="22" customHeight="1">
      <x:c r="A11" s="22" t="str">
        <x:f>'来源订单'!A10</x:f>
        <x:v>DEMO-LBL-007</x:v>
      </x:c>
      <x:c r="B11" s="22" t="str">
        <x:f>'来源订单'!B10</x:f>
        <x:v>SYN-LBL-060-07</x:v>
      </x:c>
      <x:c r="C11" s="22" t="str">
        <x:f>'来源订单'!D10</x:f>
        <x:v>60x40</x:v>
      </x:c>
      <x:c r="D11" s="24" t="n">
        <x:f>'来源订单'!E10</x:f>
        <x:v>3100</x:v>
      </x:c>
      <x:c r="E11" s="24" t="n">
        <x:f>ROUNDUP(D11*1.05,0)</x:f>
        <x:v>3255</x:v>
      </x:c>
      <x:c r="F11" s="24" t="n">
        <x:f>'来源订单'!F10</x:f>
        <x:v>48</x:v>
      </x:c>
      <x:c r="G11" s="24" t="n">
        <x:f>CEILING(E11/F11,1)</x:f>
        <x:v>68</x:v>
      </x:c>
      <x:c r="H11" s="24" t="n">
        <x:f>G11*F11</x:f>
        <x:v>3264</x:v>
      </x:c>
      <x:c r="I11" s="24" t="n">
        <x:f>H11-D11</x:f>
        <x:v>164</x:v>
      </x:c>
      <x:c r="J11" s="22" t="str">
        <x:f>IF(I11&gt;=0,"PASS","CHECK")</x:f>
        <x:v>PASS</x:v>
      </x:c>
    </x:row>
    <x:row r="12" ht="22" customHeight="1">
      <x:c r="A12" s="22" t="str">
        <x:f>'来源订单'!A11</x:f>
        <x:v>DEMO-LBL-008</x:v>
      </x:c>
      <x:c r="B12" s="22" t="str">
        <x:f>'来源订单'!B11</x:f>
        <x:v>SYN-LBL-060-08</x:v>
      </x:c>
      <x:c r="C12" s="22" t="str">
        <x:f>'来源订单'!D11</x:f>
        <x:v>60x40</x:v>
      </x:c>
      <x:c r="D12" s="24" t="n">
        <x:f>'来源订单'!E11</x:f>
        <x:v>640</x:v>
      </x:c>
      <x:c r="E12" s="24" t="n">
        <x:f>ROUNDUP(D12*1.05,0)</x:f>
        <x:v>672</x:v>
      </x:c>
      <x:c r="F12" s="24" t="n">
        <x:f>'来源订单'!F11</x:f>
        <x:v>48</x:v>
      </x:c>
      <x:c r="G12" s="24" t="n">
        <x:f>CEILING(E12/F12,1)</x:f>
        <x:v>14</x:v>
      </x:c>
      <x:c r="H12" s="24" t="n">
        <x:f>G12*F12</x:f>
        <x:v>672</x:v>
      </x:c>
      <x:c r="I12" s="24" t="n">
        <x:f>H12-D12</x:f>
        <x:v>32</x:v>
      </x:c>
      <x:c r="J12" s="22" t="str">
        <x:f>IF(I12&gt;=0,"PASS","CHECK")</x:f>
        <x:v>PASS</x:v>
      </x:c>
    </x:row>
    <x:row r="13" ht="22" customHeight="1">
      <x:c r="A13" s="22" t="str">
        <x:f>'来源订单'!A12</x:f>
        <x:v>DEMO-LBL-009</x:v>
      </x:c>
      <x:c r="B13" s="22" t="str">
        <x:f>'来源订单'!B12</x:f>
        <x:v>SYN-LBL-080-01</x:v>
      </x:c>
      <x:c r="C13" s="22" t="str">
        <x:f>'来源订单'!D12</x:f>
        <x:v>80x50</x:v>
      </x:c>
      <x:c r="D13" s="24" t="n">
        <x:f>'来源订单'!E12</x:f>
        <x:v>800</x:v>
      </x:c>
      <x:c r="E13" s="24" t="n">
        <x:f>ROUNDUP(D13*1.05,0)</x:f>
        <x:v>840</x:v>
      </x:c>
      <x:c r="F13" s="24" t="n">
        <x:f>'来源订单'!F12</x:f>
        <x:v>30</x:v>
      </x:c>
      <x:c r="G13" s="24" t="n">
        <x:f>CEILING(E13/F13,1)</x:f>
        <x:v>28</x:v>
      </x:c>
      <x:c r="H13" s="24" t="n">
        <x:f>G13*F13</x:f>
        <x:v>840</x:v>
      </x:c>
      <x:c r="I13" s="24" t="n">
        <x:f>H13-D13</x:f>
        <x:v>40</x:v>
      </x:c>
      <x:c r="J13" s="22" t="str">
        <x:f>IF(I13&gt;=0,"PASS","CHECK")</x:f>
        <x:v>PASS</x:v>
      </x:c>
    </x:row>
    <x:row r="14" ht="22" customHeight="1">
      <x:c r="A14" s="22" t="str">
        <x:f>'来源订单'!A13</x:f>
        <x:v>DEMO-LBL-010</x:v>
      </x:c>
      <x:c r="B14" s="22" t="str">
        <x:f>'来源订单'!B13</x:f>
        <x:v>SYN-LBL-080-02</x:v>
      </x:c>
      <x:c r="C14" s="22" t="str">
        <x:f>'来源订单'!D13</x:f>
        <x:v>80x50</x:v>
      </x:c>
      <x:c r="D14" s="24" t="n">
        <x:f>'来源订单'!E13</x:f>
        <x:v>1560</x:v>
      </x:c>
      <x:c r="E14" s="24" t="n">
        <x:f>ROUNDUP(D14*1.05,0)</x:f>
        <x:v>1638</x:v>
      </x:c>
      <x:c r="F14" s="24" t="n">
        <x:f>'来源订单'!F13</x:f>
        <x:v>30</x:v>
      </x:c>
      <x:c r="G14" s="24" t="n">
        <x:f>CEILING(E14/F14,1)</x:f>
        <x:v>55</x:v>
      </x:c>
      <x:c r="H14" s="24" t="n">
        <x:f>G14*F14</x:f>
        <x:v>1650</x:v>
      </x:c>
      <x:c r="I14" s="24" t="n">
        <x:f>H14-D14</x:f>
        <x:v>90</x:v>
      </x:c>
      <x:c r="J14" s="22" t="str">
        <x:f>IF(I14&gt;=0,"PASS","CHECK")</x:f>
        <x:v>PASS</x:v>
      </x:c>
    </x:row>
    <x:row r="15" ht="22" customHeight="1">
      <x:c r="A15" s="22" t="str">
        <x:f>'来源订单'!A14</x:f>
        <x:v>DEMO-LBL-011</x:v>
      </x:c>
      <x:c r="B15" s="22" t="str">
        <x:f>'来源订单'!B14</x:f>
        <x:v>SYN-LBL-080-03</x:v>
      </x:c>
      <x:c r="C15" s="22" t="str">
        <x:f>'来源订单'!D14</x:f>
        <x:v>80x50</x:v>
      </x:c>
      <x:c r="D15" s="24" t="n">
        <x:f>'来源订单'!E14</x:f>
        <x:v>420</x:v>
      </x:c>
      <x:c r="E15" s="24" t="n">
        <x:f>ROUNDUP(D15*1.05,0)</x:f>
        <x:v>441</x:v>
      </x:c>
      <x:c r="F15" s="24" t="n">
        <x:f>'来源订单'!F14</x:f>
        <x:v>30</x:v>
      </x:c>
      <x:c r="G15" s="24" t="n">
        <x:f>CEILING(E15/F15,1)</x:f>
        <x:v>15</x:v>
      </x:c>
      <x:c r="H15" s="24" t="n">
        <x:f>G15*F15</x:f>
        <x:v>450</x:v>
      </x:c>
      <x:c r="I15" s="24" t="n">
        <x:f>H15-D15</x:f>
        <x:v>30</x:v>
      </x:c>
      <x:c r="J15" s="22" t="str">
        <x:f>IF(I15&gt;=0,"PASS","CHECK")</x:f>
        <x:v>PASS</x:v>
      </x:c>
    </x:row>
    <x:row r="16" ht="22" customHeight="1">
      <x:c r="A16" s="22" t="str">
        <x:f>'来源订单'!A15</x:f>
        <x:v>DEMO-LBL-012</x:v>
      </x:c>
      <x:c r="B16" s="22" t="str">
        <x:f>'来源订单'!B15</x:f>
        <x:v>SYN-LBL-080-04</x:v>
      </x:c>
      <x:c r="C16" s="22" t="str">
        <x:f>'来源订单'!D15</x:f>
        <x:v>80x50</x:v>
      </x:c>
      <x:c r="D16" s="24" t="n">
        <x:f>'来源订单'!E15</x:f>
        <x:v>2050</x:v>
      </x:c>
      <x:c r="E16" s="24" t="n">
        <x:f>ROUNDUP(D16*1.05,0)</x:f>
        <x:v>2153</x:v>
      </x:c>
      <x:c r="F16" s="24" t="n">
        <x:f>'来源订单'!F15</x:f>
        <x:v>30</x:v>
      </x:c>
      <x:c r="G16" s="24" t="n">
        <x:f>CEILING(E16/F16,1)</x:f>
        <x:v>72</x:v>
      </x:c>
      <x:c r="H16" s="24" t="n">
        <x:f>G16*F16</x:f>
        <x:v>2160</x:v>
      </x:c>
      <x:c r="I16" s="24" t="n">
        <x:f>H16-D16</x:f>
        <x:v>110</x:v>
      </x:c>
      <x:c r="J16" s="22" t="str">
        <x:f>IF(I16&gt;=0,"PASS","CHECK")</x:f>
        <x:v>PASS</x:v>
      </x:c>
    </x:row>
    <x:row r="17" ht="22" customHeight="1">
      <x:c r="A17" s="22" t="str">
        <x:f>'来源订单'!A16</x:f>
        <x:v>DEMO-LBL-013</x:v>
      </x:c>
      <x:c r="B17" s="22" t="str">
        <x:f>'来源订单'!B16</x:f>
        <x:v>SYN-LBL-080-05</x:v>
      </x:c>
      <x:c r="C17" s="22" t="str">
        <x:f>'来源订单'!D16</x:f>
        <x:v>80x50</x:v>
      </x:c>
      <x:c r="D17" s="24" t="n">
        <x:f>'来源订单'!E16</x:f>
        <x:v>975</x:v>
      </x:c>
      <x:c r="E17" s="24" t="n">
        <x:f>ROUNDUP(D17*1.05,0)</x:f>
        <x:v>1024</x:v>
      </x:c>
      <x:c r="F17" s="24" t="n">
        <x:f>'来源订单'!F16</x:f>
        <x:v>30</x:v>
      </x:c>
      <x:c r="G17" s="24" t="n">
        <x:f>CEILING(E17/F17,1)</x:f>
        <x:v>35</x:v>
      </x:c>
      <x:c r="H17" s="24" t="n">
        <x:f>G17*F17</x:f>
        <x:v>1050</x:v>
      </x:c>
      <x:c r="I17" s="24" t="n">
        <x:f>H17-D17</x:f>
        <x:v>75</x:v>
      </x:c>
      <x:c r="J17" s="22" t="str">
        <x:f>IF(I17&gt;=0,"PASS","CHECK")</x:f>
        <x:v>PASS</x:v>
      </x:c>
    </x:row>
    <x:row r="18" ht="22" customHeight="1">
      <x:c r="A18" s="22" t="str">
        <x:f>'来源订单'!A17</x:f>
        <x:v>DEMO-LBL-014</x:v>
      </x:c>
      <x:c r="B18" s="22" t="str">
        <x:f>'来源订单'!B17</x:f>
        <x:v>SYN-LBL-080-06</x:v>
      </x:c>
      <x:c r="C18" s="22" t="str">
        <x:f>'来源订单'!D17</x:f>
        <x:v>80x50</x:v>
      </x:c>
      <x:c r="D18" s="24" t="n">
        <x:f>'来源订单'!E17</x:f>
        <x:v>1340</x:v>
      </x:c>
      <x:c r="E18" s="24" t="n">
        <x:f>ROUNDUP(D18*1.05,0)</x:f>
        <x:v>1407</x:v>
      </x:c>
      <x:c r="F18" s="24" t="n">
        <x:f>'来源订单'!F17</x:f>
        <x:v>30</x:v>
      </x:c>
      <x:c r="G18" s="24" t="n">
        <x:f>CEILING(E18/F18,1)</x:f>
        <x:v>47</x:v>
      </x:c>
      <x:c r="H18" s="24" t="n">
        <x:f>G18*F18</x:f>
        <x:v>1410</x:v>
      </x:c>
      <x:c r="I18" s="24" t="n">
        <x:f>H18-D18</x:f>
        <x:v>70</x:v>
      </x:c>
      <x:c r="J18" s="22" t="str">
        <x:f>IF(I18&gt;=0,"PASS","CHECK")</x:f>
        <x:v>PASS</x:v>
      </x:c>
    </x:row>
    <x:row r="19" ht="22" customHeight="1">
      <x:c r="A19" s="22" t="str">
        <x:f>'来源订单'!A18</x:f>
        <x:v>DEMO-LBL-015</x:v>
      </x:c>
      <x:c r="B19" s="22" t="str">
        <x:f>'来源订单'!B18</x:f>
        <x:v>SYN-LBL-080-07</x:v>
      </x:c>
      <x:c r="C19" s="22" t="str">
        <x:f>'来源订单'!D18</x:f>
        <x:v>80x50</x:v>
      </x:c>
      <x:c r="D19" s="24" t="n">
        <x:f>'来源订单'!E18</x:f>
        <x:v>2760</x:v>
      </x:c>
      <x:c r="E19" s="24" t="n">
        <x:f>ROUNDUP(D19*1.05,0)</x:f>
        <x:v>2898</x:v>
      </x:c>
      <x:c r="F19" s="24" t="n">
        <x:f>'来源订单'!F18</x:f>
        <x:v>30</x:v>
      </x:c>
      <x:c r="G19" s="24" t="n">
        <x:f>CEILING(E19/F19,1)</x:f>
        <x:v>97</x:v>
      </x:c>
      <x:c r="H19" s="24" t="n">
        <x:f>G19*F19</x:f>
        <x:v>2910</x:v>
      </x:c>
      <x:c r="I19" s="24" t="n">
        <x:f>H19-D19</x:f>
        <x:v>150</x:v>
      </x:c>
      <x:c r="J19" s="22" t="str">
        <x:f>IF(I19&gt;=0,"PASS","CHECK")</x:f>
        <x:v>PASS</x:v>
      </x:c>
    </x:row>
    <x:row r="20" ht="22" customHeight="1">
      <x:c r="A20" s="22" t="str">
        <x:f>'来源订单'!A19</x:f>
        <x:v>DEMO-LBL-016</x:v>
      </x:c>
      <x:c r="B20" s="22" t="str">
        <x:f>'来源订单'!B19</x:f>
        <x:v>SYN-LBL-080-08</x:v>
      </x:c>
      <x:c r="C20" s="22" t="str">
        <x:f>'来源订单'!D19</x:f>
        <x:v>80x50</x:v>
      </x:c>
      <x:c r="D20" s="24" t="n">
        <x:f>'来源订单'!E19</x:f>
        <x:v>510</x:v>
      </x:c>
      <x:c r="E20" s="24" t="n">
        <x:f>ROUNDUP(D20*1.05,0)</x:f>
        <x:v>536</x:v>
      </x:c>
      <x:c r="F20" s="24" t="n">
        <x:f>'来源订单'!F19</x:f>
        <x:v>30</x:v>
      </x:c>
      <x:c r="G20" s="24" t="n">
        <x:f>CEILING(E20/F20,1)</x:f>
        <x:v>18</x:v>
      </x:c>
      <x:c r="H20" s="24" t="n">
        <x:f>G20*F20</x:f>
        <x:v>540</x:v>
      </x:c>
      <x:c r="I20" s="24" t="n">
        <x:f>H20-D20</x:f>
        <x:v>30</x:v>
      </x:c>
      <x:c r="J20" s="22" t="str">
        <x:f>IF(I20&gt;=0,"PASS","CHECK")</x:f>
        <x:v>PASS</x:v>
      </x:c>
    </x:row>
    <x:row r="21" ht="22" customHeight="1">
      <x:c r="A21" s="22" t="str">
        <x:f>'来源订单'!A20</x:f>
        <x:v>DEMO-LBL-017</x:v>
      </x:c>
      <x:c r="B21" s="22" t="str">
        <x:f>'来源订单'!B20</x:f>
        <x:v>SYN-LBL-100-01</x:v>
      </x:c>
      <x:c r="C21" s="22" t="str">
        <x:f>'来源订单'!D20</x:f>
        <x:v>100x70</x:v>
      </x:c>
      <x:c r="D21" s="24" t="n">
        <x:f>'来源订单'!E20</x:f>
        <x:v>360</x:v>
      </x:c>
      <x:c r="E21" s="24" t="n">
        <x:f>ROUNDUP(D21*1.05,0)</x:f>
        <x:v>378</x:v>
      </x:c>
      <x:c r="F21" s="24" t="n">
        <x:f>'来源订单'!F20</x:f>
        <x:v>20</x:v>
      </x:c>
      <x:c r="G21" s="24" t="n">
        <x:f>CEILING(E21/F21,1)</x:f>
        <x:v>19</x:v>
      </x:c>
      <x:c r="H21" s="24" t="n">
        <x:f>G21*F21</x:f>
        <x:v>380</x:v>
      </x:c>
      <x:c r="I21" s="24" t="n">
        <x:f>H21-D21</x:f>
        <x:v>20</x:v>
      </x:c>
      <x:c r="J21" s="22" t="str">
        <x:f>IF(I21&gt;=0,"PASS","CHECK")</x:f>
        <x:v>PASS</x:v>
      </x:c>
    </x:row>
    <x:row r="22" ht="22" customHeight="1">
      <x:c r="A22" s="22" t="str">
        <x:f>'来源订单'!A21</x:f>
        <x:v>DEMO-LBL-018</x:v>
      </x:c>
      <x:c r="B22" s="22" t="str">
        <x:f>'来源订单'!B21</x:f>
        <x:v>SYN-LBL-100-02</x:v>
      </x:c>
      <x:c r="C22" s="22" t="str">
        <x:f>'来源订单'!D21</x:f>
        <x:v>100x70</x:v>
      </x:c>
      <x:c r="D22" s="24" t="n">
        <x:f>'来源订单'!E21</x:f>
        <x:v>820</x:v>
      </x:c>
      <x:c r="E22" s="24" t="n">
        <x:f>ROUNDUP(D22*1.05,0)</x:f>
        <x:v>861</x:v>
      </x:c>
      <x:c r="F22" s="24" t="n">
        <x:f>'来源订单'!F21</x:f>
        <x:v>20</x:v>
      </x:c>
      <x:c r="G22" s="24" t="n">
        <x:f>CEILING(E22/F22,1)</x:f>
        <x:v>44</x:v>
      </x:c>
      <x:c r="H22" s="24" t="n">
        <x:f>G22*F22</x:f>
        <x:v>880</x:v>
      </x:c>
      <x:c r="I22" s="24" t="n">
        <x:f>H22-D22</x:f>
        <x:v>60</x:v>
      </x:c>
      <x:c r="J22" s="22" t="str">
        <x:f>IF(I22&gt;=0,"PASS","CHECK")</x:f>
        <x:v>PASS</x:v>
      </x:c>
    </x:row>
    <x:row r="23" ht="22" customHeight="1">
      <x:c r="A23" s="22" t="str">
        <x:f>'来源订单'!A22</x:f>
        <x:v>DEMO-LBL-019</x:v>
      </x:c>
      <x:c r="B23" s="22" t="str">
        <x:f>'来源订单'!B22</x:f>
        <x:v>SYN-LBL-100-03</x:v>
      </x:c>
      <x:c r="C23" s="22" t="str">
        <x:f>'来源订单'!D22</x:f>
        <x:v>100x70</x:v>
      </x:c>
      <x:c r="D23" s="24" t="n">
        <x:f>'来源订单'!E22</x:f>
        <x:v>1260</x:v>
      </x:c>
      <x:c r="E23" s="24" t="n">
        <x:f>ROUNDUP(D23*1.05,0)</x:f>
        <x:v>1323</x:v>
      </x:c>
      <x:c r="F23" s="24" t="n">
        <x:f>'来源订单'!F22</x:f>
        <x:v>20</x:v>
      </x:c>
      <x:c r="G23" s="24" t="n">
        <x:f>CEILING(E23/F23,1)</x:f>
        <x:v>67</x:v>
      </x:c>
      <x:c r="H23" s="24" t="n">
        <x:f>G23*F23</x:f>
        <x:v>1340</x:v>
      </x:c>
      <x:c r="I23" s="24" t="n">
        <x:f>H23-D23</x:f>
        <x:v>80</x:v>
      </x:c>
      <x:c r="J23" s="22" t="str">
        <x:f>IF(I23&gt;=0,"PASS","CHECK")</x:f>
        <x:v>PASS</x:v>
      </x:c>
    </x:row>
    <x:row r="24" ht="22" customHeight="1">
      <x:c r="A24" s="22" t="str">
        <x:f>'来源订单'!A23</x:f>
        <x:v>DEMO-LBL-020</x:v>
      </x:c>
      <x:c r="B24" s="22" t="str">
        <x:f>'来源订单'!B23</x:f>
        <x:v>SYN-LBL-100-04</x:v>
      </x:c>
      <x:c r="C24" s="22" t="str">
        <x:f>'来源订单'!D23</x:f>
        <x:v>100x70</x:v>
      </x:c>
      <x:c r="D24" s="24" t="n">
        <x:f>'来源订单'!E23</x:f>
        <x:v>540</x:v>
      </x:c>
      <x:c r="E24" s="24" t="n">
        <x:f>ROUNDUP(D24*1.05,0)</x:f>
        <x:v>567</x:v>
      </x:c>
      <x:c r="F24" s="24" t="n">
        <x:f>'来源订单'!F23</x:f>
        <x:v>20</x:v>
      </x:c>
      <x:c r="G24" s="24" t="n">
        <x:f>CEILING(E24/F24,1)</x:f>
        <x:v>29</x:v>
      </x:c>
      <x:c r="H24" s="24" t="n">
        <x:f>G24*F24</x:f>
        <x:v>580</x:v>
      </x:c>
      <x:c r="I24" s="24" t="n">
        <x:f>H24-D24</x:f>
        <x:v>40</x:v>
      </x:c>
      <x:c r="J24" s="22" t="str">
        <x:f>IF(I24&gt;=0,"PASS","CHECK")</x:f>
        <x:v>PASS</x:v>
      </x:c>
    </x:row>
    <x:row r="25" ht="22" customHeight="1">
      <x:c r="A25" s="22" t="str">
        <x:f>'来源订单'!A24</x:f>
        <x:v>DEMO-LBL-021</x:v>
      </x:c>
      <x:c r="B25" s="22" t="str">
        <x:f>'来源订单'!B24</x:f>
        <x:v>SYN-LBL-100-05</x:v>
      </x:c>
      <x:c r="C25" s="22" t="str">
        <x:f>'来源订单'!D24</x:f>
        <x:v>100x70</x:v>
      </x:c>
      <x:c r="D25" s="24" t="n">
        <x:f>'来源订单'!E24</x:f>
        <x:v>1740</x:v>
      </x:c>
      <x:c r="E25" s="24" t="n">
        <x:f>ROUNDUP(D25*1.05,0)</x:f>
        <x:v>1827</x:v>
      </x:c>
      <x:c r="F25" s="24" t="n">
        <x:f>'来源订单'!F24</x:f>
        <x:v>20</x:v>
      </x:c>
      <x:c r="G25" s="24" t="n">
        <x:f>CEILING(E25/F25,1)</x:f>
        <x:v>92</x:v>
      </x:c>
      <x:c r="H25" s="24" t="n">
        <x:f>G25*F25</x:f>
        <x:v>1840</x:v>
      </x:c>
      <x:c r="I25" s="24" t="n">
        <x:f>H25-D25</x:f>
        <x:v>100</x:v>
      </x:c>
      <x:c r="J25" s="22" t="str">
        <x:f>IF(I25&gt;=0,"PASS","CHECK")</x:f>
        <x:v>PASS</x:v>
      </x:c>
    </x:row>
    <x:row r="26" ht="22" customHeight="1">
      <x:c r="A26" s="22" t="str">
        <x:f>'来源订单'!A25</x:f>
        <x:v>DEMO-LBL-022</x:v>
      </x:c>
      <x:c r="B26" s="22" t="str">
        <x:f>'来源订单'!B25</x:f>
        <x:v>SYN-LBL-100-06</x:v>
      </x:c>
      <x:c r="C26" s="22" t="str">
        <x:f>'来源订单'!D25</x:f>
        <x:v>100x70</x:v>
      </x:c>
      <x:c r="D26" s="24" t="n">
        <x:f>'来源订单'!E25</x:f>
        <x:v>960</x:v>
      </x:c>
      <x:c r="E26" s="24" t="n">
        <x:f>ROUNDUP(D26*1.05,0)</x:f>
        <x:v>1008</x:v>
      </x:c>
      <x:c r="F26" s="24" t="n">
        <x:f>'来源订单'!F25</x:f>
        <x:v>20</x:v>
      </x:c>
      <x:c r="G26" s="24" t="n">
        <x:f>CEILING(E26/F26,1)</x:f>
        <x:v>51</x:v>
      </x:c>
      <x:c r="H26" s="24" t="n">
        <x:f>G26*F26</x:f>
        <x:v>1020</x:v>
      </x:c>
      <x:c r="I26" s="24" t="n">
        <x:f>H26-D26</x:f>
        <x:v>60</x:v>
      </x:c>
      <x:c r="J26" s="22" t="str">
        <x:f>IF(I26&gt;=0,"PASS","CHECK")</x:f>
        <x:v>PASS</x:v>
      </x:c>
    </x:row>
    <x:row r="27" ht="22" customHeight="1">
      <x:c r="A27" s="22" t="str">
        <x:f>'来源订单'!A26</x:f>
        <x:v>DEMO-LBL-023</x:v>
      </x:c>
      <x:c r="B27" s="22" t="str">
        <x:f>'来源订单'!B26</x:f>
        <x:v>SYN-LBL-100-07</x:v>
      </x:c>
      <x:c r="C27" s="22" t="str">
        <x:f>'来源订单'!D26</x:f>
        <x:v>100x70</x:v>
      </x:c>
      <x:c r="D27" s="24" t="n">
        <x:f>'来源订单'!E26</x:f>
        <x:v>2200</x:v>
      </x:c>
      <x:c r="E27" s="24" t="n">
        <x:f>ROUNDUP(D27*1.05,0)</x:f>
        <x:v>2310</x:v>
      </x:c>
      <x:c r="F27" s="24" t="n">
        <x:f>'来源订单'!F26</x:f>
        <x:v>20</x:v>
      </x:c>
      <x:c r="G27" s="24" t="n">
        <x:f>CEILING(E27/F27,1)</x:f>
        <x:v>116</x:v>
      </x:c>
      <x:c r="H27" s="24" t="n">
        <x:f>G27*F27</x:f>
        <x:v>2320</x:v>
      </x:c>
      <x:c r="I27" s="24" t="n">
        <x:f>H27-D27</x:f>
        <x:v>120</x:v>
      </x:c>
      <x:c r="J27" s="22" t="str">
        <x:f>IF(I27&gt;=0,"PASS","CHECK")</x:f>
        <x:v>PASS</x:v>
      </x:c>
    </x:row>
    <x:row r="28" ht="22" customHeight="1">
      <x:c r="A28" s="22" t="str">
        <x:f>'来源订单'!A27</x:f>
        <x:v>DEMO-LBL-024</x:v>
      </x:c>
      <x:c r="B28" s="22" t="str">
        <x:f>'来源订单'!B27</x:f>
        <x:v>SYN-LBL-100-08</x:v>
      </x:c>
      <x:c r="C28" s="22" t="str">
        <x:f>'来源订单'!D27</x:f>
        <x:v>100x70</x:v>
      </x:c>
      <x:c r="D28" s="24" t="n">
        <x:f>'来源订单'!E27</x:f>
        <x:v>680</x:v>
      </x:c>
      <x:c r="E28" s="24" t="n">
        <x:f>ROUNDUP(D28*1.05,0)</x:f>
        <x:v>714</x:v>
      </x:c>
      <x:c r="F28" s="24" t="n">
        <x:f>'来源订单'!F27</x:f>
        <x:v>20</x:v>
      </x:c>
      <x:c r="G28" s="24" t="n">
        <x:f>CEILING(E28/F28,1)</x:f>
        <x:v>36</x:v>
      </x:c>
      <x:c r="H28" s="24" t="n">
        <x:f>G28*F28</x:f>
        <x:v>720</x:v>
      </x:c>
      <x:c r="I28" s="24" t="n">
        <x:f>H28-D28</x:f>
        <x:v>40</x:v>
      </x:c>
      <x:c r="J28" s="22" t="str">
        <x:f>IF(I28&gt;=0,"PASS","CHECK")</x:f>
        <x:v>PASS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4" hidden="0" customWidth="1"/>
    <x:col min="3" max="3" width="12" hidden="0" customWidth="1"/>
    <x:col min="4" max="4" width="16" hidden="0" customWidth="1"/>
    <x:col min="5" max="5" width="16" hidden="0" customWidth="1"/>
    <x:col min="6" max="6" width="11" hidden="0" customWidth="1"/>
    <x:col min="7" max="7" width="11" hidden="0" customWidth="1"/>
  </x:cols>
  <x:sheetData>
    <x:row r="1" ht="34" customHeight="1">
      <x:c r="A1" s="3" t="str">
        <x:v>成本与余量复核｜结构示例</x:v>
      </x:c>
      <x:c r="B1" s="3" t="str">
        <x:v>成本与余量复核｜结构示例</x:v>
      </x:c>
      <x:c r="C1" s="3" t="str">
        <x:v>成本与余量复核｜结构示例</x:v>
      </x:c>
      <x:c r="D1" s="3" t="str">
        <x:v>成本与余量复核｜结构示例</x:v>
      </x:c>
      <x:c r="E1" s="3" t="str">
        <x:v>成本与余量复核｜结构示例</x:v>
      </x:c>
      <x:c r="F1" s="3" t="str">
        <x:v>成本与余量复核｜结构示例</x:v>
      </x:c>
      <x:c r="G1" s="3" t="str">
        <x:v>成本与余量复核｜结构示例</x:v>
      </x:c>
    </x:row>
    <x:row r="3" ht="30" customHeight="1">
      <x:c r="A3" s="15" t="str">
        <x:v>订单编号</x:v>
      </x:c>
      <x:c r="B3" s="16" t="str">
        <x:v>材料</x:v>
      </x:c>
      <x:c r="C3" s="16" t="str">
        <x:v>计划印张</x:v>
      </x:c>
      <x:c r="D3" s="16" t="str">
        <x:v>单张材料成本</x:v>
      </x:c>
      <x:c r="E3" s="16" t="str">
        <x:v>估算材料成本</x:v>
      </x:c>
      <x:c r="F3" s="16" t="str">
        <x:v>余量</x:v>
      </x:c>
      <x:c r="G3" s="17" t="str">
        <x:v>状态</x:v>
      </x:c>
    </x:row>
    <x:row r="4" ht="22" customHeight="1">
      <x:c r="A4" s="21" t="str">
        <x:f>'来源订单'!A4</x:f>
        <x:v>DEMO-LBL-001</x:v>
      </x:c>
      <x:c r="B4" s="21" t="str">
        <x:f>'来源订单'!G4</x:f>
        <x:v>铜版纸</x:v>
      </x:c>
      <x:c r="C4" s="23" t="n">
        <x:f>'排版计划'!G5</x:f>
        <x:v>27</x:v>
      </x:c>
      <x:c r="D4" s="25" t="n">
        <x:f>'来源订单'!H4</x:f>
        <x:v>1.85</x:v>
      </x:c>
      <x:c r="E4" s="25" t="n">
        <x:f>C4*D4</x:f>
        <x:v>49.95</x:v>
      </x:c>
      <x:c r="F4" s="23" t="n">
        <x:f>'排版计划'!I5</x:f>
        <x:v>96</x:v>
      </x:c>
      <x:c r="G4" s="21" t="str">
        <x:f>IF(F4&gt;=0,"PASS","CHECK")</x:f>
        <x:v>PASS</x:v>
      </x:c>
    </x:row>
    <x:row r="5" ht="22" customHeight="1">
      <x:c r="A5" s="22" t="str">
        <x:f>'来源订单'!A5</x:f>
        <x:v>DEMO-LBL-002</x:v>
      </x:c>
      <x:c r="B5" s="22" t="str">
        <x:f>'来源订单'!G5</x:f>
        <x:v>铜版纸</x:v>
      </x:c>
      <x:c r="C5" s="24" t="n">
        <x:f>'排版计划'!G6</x:f>
        <x:v>19</x:v>
      </x:c>
      <x:c r="D5" s="26" t="n">
        <x:f>'来源订单'!H5</x:f>
        <x:v>1.85</x:v>
      </x:c>
      <x:c r="E5" s="26" t="n">
        <x:f>C5*D5</x:f>
        <x:v>35.15</x:v>
      </x:c>
      <x:c r="F5" s="24" t="n">
        <x:f>'排版计划'!I6</x:f>
        <x:v>62</x:v>
      </x:c>
      <x:c r="G5" s="22" t="str">
        <x:f>IF(F5&gt;=0,"PASS","CHECK")</x:f>
        <x:v>PASS</x:v>
      </x:c>
    </x:row>
    <x:row r="6" ht="22" customHeight="1">
      <x:c r="A6" s="22" t="str">
        <x:f>'来源订单'!A6</x:f>
        <x:v>DEMO-LBL-003</x:v>
      </x:c>
      <x:c r="B6" s="22" t="str">
        <x:f>'来源订单'!G6</x:f>
        <x:v>铜版纸</x:v>
      </x:c>
      <x:c r="C6" s="24" t="n">
        <x:f>'排版计划'!G7</x:f>
        <x:v>52</x:v>
      </x:c>
      <x:c r="D6" s="26" t="n">
        <x:f>'来源订单'!H6</x:f>
        <x:v>1.85</x:v>
      </x:c>
      <x:c r="E6" s="26" t="n">
        <x:f>C6*D6</x:f>
        <x:v>96.2</x:v>
      </x:c>
      <x:c r="F6" s="24" t="n">
        <x:f>'排版计划'!I7</x:f>
        <x:v>136</x:v>
      </x:c>
      <x:c r="G6" s="22" t="str">
        <x:f>IF(F6&gt;=0,"PASS","CHECK")</x:f>
        <x:v>PASS</x:v>
      </x:c>
    </x:row>
    <x:row r="7" ht="22" customHeight="1">
      <x:c r="A7" s="22" t="str">
        <x:f>'来源订单'!A7</x:f>
        <x:v>DEMO-LBL-004</x:v>
      </x:c>
      <x:c r="B7" s="22" t="str">
        <x:f>'来源订单'!G7</x:f>
        <x:v>铜版纸</x:v>
      </x:c>
      <x:c r="C7" s="24" t="n">
        <x:f>'排版计划'!G8</x:f>
        <x:v>11</x:v>
      </x:c>
      <x:c r="D7" s="26" t="n">
        <x:f>'来源订单'!H7</x:f>
        <x:v>1.85</x:v>
      </x:c>
      <x:c r="E7" s="26" t="n">
        <x:f>C7*D7</x:f>
        <x:v>20.35</x:v>
      </x:c>
      <x:c r="F7" s="24" t="n">
        <x:f>'排版计划'!I8</x:f>
        <x:v>48</x:v>
      </x:c>
      <x:c r="G7" s="22" t="str">
        <x:f>IF(F7&gt;=0,"PASS","CHECK")</x:f>
        <x:v>PASS</x:v>
      </x:c>
    </x:row>
    <x:row r="8" ht="22" customHeight="1">
      <x:c r="A8" s="22" t="str">
        <x:f>'来源订单'!A8</x:f>
        <x:v>DEMO-LBL-005</x:v>
      </x:c>
      <x:c r="B8" s="22" t="str">
        <x:f>'来源订单'!G8</x:f>
        <x:v>铜版纸</x:v>
      </x:c>
      <x:c r="C8" s="24" t="n">
        <x:f>'排版计划'!G9</x:f>
        <x:v>39</x:v>
      </x:c>
      <x:c r="D8" s="26" t="n">
        <x:f>'来源订单'!H8</x:f>
        <x:v>1.85</x:v>
      </x:c>
      <x:c r="E8" s="26" t="n">
        <x:f>C8*D8</x:f>
        <x:v>72.15</x:v>
      </x:c>
      <x:c r="F8" s="24" t="n">
        <x:f>'排版计划'!I9</x:f>
        <x:v>122</x:v>
      </x:c>
      <x:c r="G8" s="22" t="str">
        <x:f>IF(F8&gt;=0,"PASS","CHECK")</x:f>
        <x:v>PASS</x:v>
      </x:c>
    </x:row>
    <x:row r="9" ht="22" customHeight="1">
      <x:c r="A9" s="22" t="str">
        <x:f>'来源订单'!A9</x:f>
        <x:v>DEMO-LBL-006</x:v>
      </x:c>
      <x:c r="B9" s="22" t="str">
        <x:f>'来源订单'!G9</x:f>
        <x:v>铜版纸</x:v>
      </x:c>
      <x:c r="C9" s="24" t="n">
        <x:f>'排版计划'!G10</x:f>
        <x:v>21</x:v>
      </x:c>
      <x:c r="D9" s="26" t="n">
        <x:f>'来源订单'!H9</x:f>
        <x:v>1.85</x:v>
      </x:c>
      <x:c r="E9" s="26" t="n">
        <x:f>C9*D9</x:f>
        <x:v>38.85</x:v>
      </x:c>
      <x:c r="F9" s="24" t="n">
        <x:f>'排版计划'!I10</x:f>
        <x:v>88</x:v>
      </x:c>
      <x:c r="G9" s="22" t="str">
        <x:f>IF(F9&gt;=0,"PASS","CHECK")</x:f>
        <x:v>PASS</x:v>
      </x:c>
    </x:row>
    <x:row r="10" ht="22" customHeight="1">
      <x:c r="A10" s="22" t="str">
        <x:f>'来源订单'!A10</x:f>
        <x:v>DEMO-LBL-007</x:v>
      </x:c>
      <x:c r="B10" s="22" t="str">
        <x:f>'来源订单'!G10</x:f>
        <x:v>铜版纸</x:v>
      </x:c>
      <x:c r="C10" s="24" t="n">
        <x:f>'排版计划'!G11</x:f>
        <x:v>68</x:v>
      </x:c>
      <x:c r="D10" s="26" t="n">
        <x:f>'来源订单'!H10</x:f>
        <x:v>1.85</x:v>
      </x:c>
      <x:c r="E10" s="26" t="n">
        <x:f>C10*D10</x:f>
        <x:v>125.80000000000001</x:v>
      </x:c>
      <x:c r="F10" s="24" t="n">
        <x:f>'排版计划'!I11</x:f>
        <x:v>164</x:v>
      </x:c>
      <x:c r="G10" s="22" t="str">
        <x:f>IF(F10&gt;=0,"PASS","CHECK")</x:f>
        <x:v>PASS</x:v>
      </x:c>
    </x:row>
    <x:row r="11" ht="22" customHeight="1">
      <x:c r="A11" s="22" t="str">
        <x:f>'来源订单'!A11</x:f>
        <x:v>DEMO-LBL-008</x:v>
      </x:c>
      <x:c r="B11" s="22" t="str">
        <x:f>'来源订单'!G11</x:f>
        <x:v>铜版纸</x:v>
      </x:c>
      <x:c r="C11" s="24" t="n">
        <x:f>'排版计划'!G12</x:f>
        <x:v>14</x:v>
      </x:c>
      <x:c r="D11" s="26" t="n">
        <x:f>'来源订单'!H11</x:f>
        <x:v>1.85</x:v>
      </x:c>
      <x:c r="E11" s="26" t="n">
        <x:f>C11*D11</x:f>
        <x:v>25.900000000000002</x:v>
      </x:c>
      <x:c r="F11" s="24" t="n">
        <x:f>'排版计划'!I12</x:f>
        <x:v>32</x:v>
      </x:c>
      <x:c r="G11" s="22" t="str">
        <x:f>IF(F11&gt;=0,"PASS","CHECK")</x:f>
        <x:v>PASS</x:v>
      </x:c>
    </x:row>
    <x:row r="12" ht="22" customHeight="1">
      <x:c r="A12" s="22" t="str">
        <x:f>'来源订单'!A12</x:f>
        <x:v>DEMO-LBL-009</x:v>
      </x:c>
      <x:c r="B12" s="22" t="str">
        <x:f>'来源订单'!G12</x:f>
        <x:v>合成纸</x:v>
      </x:c>
      <x:c r="C12" s="24" t="n">
        <x:f>'排版计划'!G13</x:f>
        <x:v>28</x:v>
      </x:c>
      <x:c r="D12" s="26" t="n">
        <x:f>'来源订单'!H12</x:f>
        <x:v>2.1</x:v>
      </x:c>
      <x:c r="E12" s="26" t="n">
        <x:f>C12*D12</x:f>
        <x:v>58.800000000000004</x:v>
      </x:c>
      <x:c r="F12" s="24" t="n">
        <x:f>'排版计划'!I13</x:f>
        <x:v>40</x:v>
      </x:c>
      <x:c r="G12" s="22" t="str">
        <x:f>IF(F12&gt;=0,"PASS","CHECK")</x:f>
        <x:v>PASS</x:v>
      </x:c>
    </x:row>
    <x:row r="13" ht="22" customHeight="1">
      <x:c r="A13" s="22" t="str">
        <x:f>'来源订单'!A13</x:f>
        <x:v>DEMO-LBL-010</x:v>
      </x:c>
      <x:c r="B13" s="22" t="str">
        <x:f>'来源订单'!G13</x:f>
        <x:v>合成纸</x:v>
      </x:c>
      <x:c r="C13" s="24" t="n">
        <x:f>'排版计划'!G14</x:f>
        <x:v>55</x:v>
      </x:c>
      <x:c r="D13" s="26" t="n">
        <x:f>'来源订单'!H13</x:f>
        <x:v>2.1</x:v>
      </x:c>
      <x:c r="E13" s="26" t="n">
        <x:f>C13*D13</x:f>
        <x:v>115.5</x:v>
      </x:c>
      <x:c r="F13" s="24" t="n">
        <x:f>'排版计划'!I14</x:f>
        <x:v>90</x:v>
      </x:c>
      <x:c r="G13" s="22" t="str">
        <x:f>IF(F13&gt;=0,"PASS","CHECK")</x:f>
        <x:v>PASS</x:v>
      </x:c>
    </x:row>
    <x:row r="14" ht="22" customHeight="1">
      <x:c r="A14" s="22" t="str">
        <x:f>'来源订单'!A14</x:f>
        <x:v>DEMO-LBL-011</x:v>
      </x:c>
      <x:c r="B14" s="22" t="str">
        <x:f>'来源订单'!G14</x:f>
        <x:v>合成纸</x:v>
      </x:c>
      <x:c r="C14" s="24" t="n">
        <x:f>'排版计划'!G15</x:f>
        <x:v>15</x:v>
      </x:c>
      <x:c r="D14" s="26" t="n">
        <x:f>'来源订单'!H14</x:f>
        <x:v>2.1</x:v>
      </x:c>
      <x:c r="E14" s="26" t="n">
        <x:f>C14*D14</x:f>
        <x:v>31.5</x:v>
      </x:c>
      <x:c r="F14" s="24" t="n">
        <x:f>'排版计划'!I15</x:f>
        <x:v>30</x:v>
      </x:c>
      <x:c r="G14" s="22" t="str">
        <x:f>IF(F14&gt;=0,"PASS","CHECK")</x:f>
        <x:v>PASS</x:v>
      </x:c>
    </x:row>
    <x:row r="15" ht="22" customHeight="1">
      <x:c r="A15" s="22" t="str">
        <x:f>'来源订单'!A15</x:f>
        <x:v>DEMO-LBL-012</x:v>
      </x:c>
      <x:c r="B15" s="22" t="str">
        <x:f>'来源订单'!G15</x:f>
        <x:v>合成纸</x:v>
      </x:c>
      <x:c r="C15" s="24" t="n">
        <x:f>'排版计划'!G16</x:f>
        <x:v>72</x:v>
      </x:c>
      <x:c r="D15" s="26" t="n">
        <x:f>'来源订单'!H15</x:f>
        <x:v>2.1</x:v>
      </x:c>
      <x:c r="E15" s="26" t="n">
        <x:f>C15*D15</x:f>
        <x:v>151.20000000000002</x:v>
      </x:c>
      <x:c r="F15" s="24" t="n">
        <x:f>'排版计划'!I16</x:f>
        <x:v>110</x:v>
      </x:c>
      <x:c r="G15" s="22" t="str">
        <x:f>IF(F15&gt;=0,"PASS","CHECK")</x:f>
        <x:v>PASS</x:v>
      </x:c>
    </x:row>
    <x:row r="16" ht="22" customHeight="1">
      <x:c r="A16" s="22" t="str">
        <x:f>'来源订单'!A16</x:f>
        <x:v>DEMO-LBL-013</x:v>
      </x:c>
      <x:c r="B16" s="22" t="str">
        <x:f>'来源订单'!G16</x:f>
        <x:v>合成纸</x:v>
      </x:c>
      <x:c r="C16" s="24" t="n">
        <x:f>'排版计划'!G17</x:f>
        <x:v>35</x:v>
      </x:c>
      <x:c r="D16" s="26" t="n">
        <x:f>'来源订单'!H16</x:f>
        <x:v>2.1</x:v>
      </x:c>
      <x:c r="E16" s="26" t="n">
        <x:f>C16*D16</x:f>
        <x:v>73.5</x:v>
      </x:c>
      <x:c r="F16" s="24" t="n">
        <x:f>'排版计划'!I17</x:f>
        <x:v>75</x:v>
      </x:c>
      <x:c r="G16" s="22" t="str">
        <x:f>IF(F16&gt;=0,"PASS","CHECK")</x:f>
        <x:v>PASS</x:v>
      </x:c>
    </x:row>
    <x:row r="17" ht="22" customHeight="1">
      <x:c r="A17" s="22" t="str">
        <x:f>'来源订单'!A17</x:f>
        <x:v>DEMO-LBL-014</x:v>
      </x:c>
      <x:c r="B17" s="22" t="str">
        <x:f>'来源订单'!G17</x:f>
        <x:v>合成纸</x:v>
      </x:c>
      <x:c r="C17" s="24" t="n">
        <x:f>'排版计划'!G18</x:f>
        <x:v>47</x:v>
      </x:c>
      <x:c r="D17" s="26" t="n">
        <x:f>'来源订单'!H17</x:f>
        <x:v>2.1</x:v>
      </x:c>
      <x:c r="E17" s="26" t="n">
        <x:f>C17*D17</x:f>
        <x:v>98.7</x:v>
      </x:c>
      <x:c r="F17" s="24" t="n">
        <x:f>'排版计划'!I18</x:f>
        <x:v>70</x:v>
      </x:c>
      <x:c r="G17" s="22" t="str">
        <x:f>IF(F17&gt;=0,"PASS","CHECK")</x:f>
        <x:v>PASS</x:v>
      </x:c>
    </x:row>
    <x:row r="18" ht="22" customHeight="1">
      <x:c r="A18" s="22" t="str">
        <x:f>'来源订单'!A18</x:f>
        <x:v>DEMO-LBL-015</x:v>
      </x:c>
      <x:c r="B18" s="22" t="str">
        <x:f>'来源订单'!G18</x:f>
        <x:v>合成纸</x:v>
      </x:c>
      <x:c r="C18" s="24" t="n">
        <x:f>'排版计划'!G19</x:f>
        <x:v>97</x:v>
      </x:c>
      <x:c r="D18" s="26" t="n">
        <x:f>'来源订单'!H18</x:f>
        <x:v>2.1</x:v>
      </x:c>
      <x:c r="E18" s="26" t="n">
        <x:f>C18*D18</x:f>
        <x:v>203.70000000000002</x:v>
      </x:c>
      <x:c r="F18" s="24" t="n">
        <x:f>'排版计划'!I19</x:f>
        <x:v>150</x:v>
      </x:c>
      <x:c r="G18" s="22" t="str">
        <x:f>IF(F18&gt;=0,"PASS","CHECK")</x:f>
        <x:v>PASS</x:v>
      </x:c>
    </x:row>
    <x:row r="19" ht="22" customHeight="1">
      <x:c r="A19" s="22" t="str">
        <x:f>'来源订单'!A19</x:f>
        <x:v>DEMO-LBL-016</x:v>
      </x:c>
      <x:c r="B19" s="22" t="str">
        <x:f>'来源订单'!G19</x:f>
        <x:v>合成纸</x:v>
      </x:c>
      <x:c r="C19" s="24" t="n">
        <x:f>'排版计划'!G20</x:f>
        <x:v>18</x:v>
      </x:c>
      <x:c r="D19" s="26" t="n">
        <x:f>'来源订单'!H19</x:f>
        <x:v>2.1</x:v>
      </x:c>
      <x:c r="E19" s="26" t="n">
        <x:f>C19*D19</x:f>
        <x:v>37.800000000000004</x:v>
      </x:c>
      <x:c r="F19" s="24" t="n">
        <x:f>'排版计划'!I20</x:f>
        <x:v>30</x:v>
      </x:c>
      <x:c r="G19" s="22" t="str">
        <x:f>IF(F19&gt;=0,"PASS","CHECK")</x:f>
        <x:v>PASS</x:v>
      </x:c>
    </x:row>
    <x:row r="20" ht="22" customHeight="1">
      <x:c r="A20" s="22" t="str">
        <x:f>'来源订单'!A20</x:f>
        <x:v>DEMO-LBL-017</x:v>
      </x:c>
      <x:c r="B20" s="22" t="str">
        <x:f>'来源订单'!G20</x:f>
        <x:v>哑银 PET</x:v>
      </x:c>
      <x:c r="C20" s="24" t="n">
        <x:f>'排版计划'!G21</x:f>
        <x:v>19</x:v>
      </x:c>
      <x:c r="D20" s="26" t="n">
        <x:f>'来源订单'!H20</x:f>
        <x:v>2.45</x:v>
      </x:c>
      <x:c r="E20" s="26" t="n">
        <x:f>C20*D20</x:f>
        <x:v>46.550000000000004</x:v>
      </x:c>
      <x:c r="F20" s="24" t="n">
        <x:f>'排版计划'!I21</x:f>
        <x:v>20</x:v>
      </x:c>
      <x:c r="G20" s="22" t="str">
        <x:f>IF(F20&gt;=0,"PASS","CHECK")</x:f>
        <x:v>PASS</x:v>
      </x:c>
    </x:row>
    <x:row r="21" ht="22" customHeight="1">
      <x:c r="A21" s="22" t="str">
        <x:f>'来源订单'!A21</x:f>
        <x:v>DEMO-LBL-018</x:v>
      </x:c>
      <x:c r="B21" s="22" t="str">
        <x:f>'来源订单'!G21</x:f>
        <x:v>哑银 PET</x:v>
      </x:c>
      <x:c r="C21" s="24" t="n">
        <x:f>'排版计划'!G22</x:f>
        <x:v>44</x:v>
      </x:c>
      <x:c r="D21" s="26" t="n">
        <x:f>'来源订单'!H21</x:f>
        <x:v>2.45</x:v>
      </x:c>
      <x:c r="E21" s="26" t="n">
        <x:f>C21*D21</x:f>
        <x:v>107.80000000000001</x:v>
      </x:c>
      <x:c r="F21" s="24" t="n">
        <x:f>'排版计划'!I22</x:f>
        <x:v>60</x:v>
      </x:c>
      <x:c r="G21" s="22" t="str">
        <x:f>IF(F21&gt;=0,"PASS","CHECK")</x:f>
        <x:v>PASS</x:v>
      </x:c>
    </x:row>
    <x:row r="22" ht="22" customHeight="1">
      <x:c r="A22" s="22" t="str">
        <x:f>'来源订单'!A22</x:f>
        <x:v>DEMO-LBL-019</x:v>
      </x:c>
      <x:c r="B22" s="22" t="str">
        <x:f>'来源订单'!G22</x:f>
        <x:v>哑银 PET</x:v>
      </x:c>
      <x:c r="C22" s="24" t="n">
        <x:f>'排版计划'!G23</x:f>
        <x:v>67</x:v>
      </x:c>
      <x:c r="D22" s="26" t="n">
        <x:f>'来源订单'!H22</x:f>
        <x:v>2.45</x:v>
      </x:c>
      <x:c r="E22" s="26" t="n">
        <x:f>C22*D22</x:f>
        <x:v>164.15</x:v>
      </x:c>
      <x:c r="F22" s="24" t="n">
        <x:f>'排版计划'!I23</x:f>
        <x:v>80</x:v>
      </x:c>
      <x:c r="G22" s="22" t="str">
        <x:f>IF(F22&gt;=0,"PASS","CHECK")</x:f>
        <x:v>PASS</x:v>
      </x:c>
    </x:row>
    <x:row r="23" ht="22" customHeight="1">
      <x:c r="A23" s="22" t="str">
        <x:f>'来源订单'!A23</x:f>
        <x:v>DEMO-LBL-020</x:v>
      </x:c>
      <x:c r="B23" s="22" t="str">
        <x:f>'来源订单'!G23</x:f>
        <x:v>哑银 PET</x:v>
      </x:c>
      <x:c r="C23" s="24" t="n">
        <x:f>'排版计划'!G24</x:f>
        <x:v>29</x:v>
      </x:c>
      <x:c r="D23" s="26" t="n">
        <x:f>'来源订单'!H23</x:f>
        <x:v>2.45</x:v>
      </x:c>
      <x:c r="E23" s="26" t="n">
        <x:f>C23*D23</x:f>
        <x:v>71.05000000000001</x:v>
      </x:c>
      <x:c r="F23" s="24" t="n">
        <x:f>'排版计划'!I24</x:f>
        <x:v>40</x:v>
      </x:c>
      <x:c r="G23" s="22" t="str">
        <x:f>IF(F23&gt;=0,"PASS","CHECK")</x:f>
        <x:v>PASS</x:v>
      </x:c>
    </x:row>
    <x:row r="24" ht="22" customHeight="1">
      <x:c r="A24" s="22" t="str">
        <x:f>'来源订单'!A24</x:f>
        <x:v>DEMO-LBL-021</x:v>
      </x:c>
      <x:c r="B24" s="22" t="str">
        <x:f>'来源订单'!G24</x:f>
        <x:v>哑银 PET</x:v>
      </x:c>
      <x:c r="C24" s="24" t="n">
        <x:f>'排版计划'!G25</x:f>
        <x:v>92</x:v>
      </x:c>
      <x:c r="D24" s="26" t="n">
        <x:f>'来源订单'!H24</x:f>
        <x:v>2.45</x:v>
      </x:c>
      <x:c r="E24" s="26" t="n">
        <x:f>C24*D24</x:f>
        <x:v>225.4</x:v>
      </x:c>
      <x:c r="F24" s="24" t="n">
        <x:f>'排版计划'!I25</x:f>
        <x:v>100</x:v>
      </x:c>
      <x:c r="G24" s="22" t="str">
        <x:f>IF(F24&gt;=0,"PASS","CHECK")</x:f>
        <x:v>PASS</x:v>
      </x:c>
    </x:row>
    <x:row r="25" ht="22" customHeight="1">
      <x:c r="A25" s="22" t="str">
        <x:f>'来源订单'!A25</x:f>
        <x:v>DEMO-LBL-022</x:v>
      </x:c>
      <x:c r="B25" s="22" t="str">
        <x:f>'来源订单'!G25</x:f>
        <x:v>哑银 PET</x:v>
      </x:c>
      <x:c r="C25" s="24" t="n">
        <x:f>'排版计划'!G26</x:f>
        <x:v>51</x:v>
      </x:c>
      <x:c r="D25" s="26" t="n">
        <x:f>'来源订单'!H25</x:f>
        <x:v>2.45</x:v>
      </x:c>
      <x:c r="E25" s="26" t="n">
        <x:f>C25*D25</x:f>
        <x:v>124.95</x:v>
      </x:c>
      <x:c r="F25" s="24" t="n">
        <x:f>'排版计划'!I26</x:f>
        <x:v>60</x:v>
      </x:c>
      <x:c r="G25" s="22" t="str">
        <x:f>IF(F25&gt;=0,"PASS","CHECK")</x:f>
        <x:v>PASS</x:v>
      </x:c>
    </x:row>
    <x:row r="26" ht="22" customHeight="1">
      <x:c r="A26" s="22" t="str">
        <x:f>'来源订单'!A26</x:f>
        <x:v>DEMO-LBL-023</x:v>
      </x:c>
      <x:c r="B26" s="22" t="str">
        <x:f>'来源订单'!G26</x:f>
        <x:v>哑银 PET</x:v>
      </x:c>
      <x:c r="C26" s="24" t="n">
        <x:f>'排版计划'!G27</x:f>
        <x:v>116</x:v>
      </x:c>
      <x:c r="D26" s="26" t="n">
        <x:f>'来源订单'!H26</x:f>
        <x:v>2.45</x:v>
      </x:c>
      <x:c r="E26" s="26" t="n">
        <x:f>C26*D26</x:f>
        <x:v>284.20000000000005</x:v>
      </x:c>
      <x:c r="F26" s="24" t="n">
        <x:f>'排版计划'!I27</x:f>
        <x:v>120</x:v>
      </x:c>
      <x:c r="G26" s="22" t="str">
        <x:f>IF(F26&gt;=0,"PASS","CHECK")</x:f>
        <x:v>PASS</x:v>
      </x:c>
    </x:row>
    <x:row r="27" ht="22" customHeight="1">
      <x:c r="A27" s="22" t="str">
        <x:f>'来源订单'!A27</x:f>
        <x:v>DEMO-LBL-024</x:v>
      </x:c>
      <x:c r="B27" s="22" t="str">
        <x:f>'来源订单'!G27</x:f>
        <x:v>哑银 PET</x:v>
      </x:c>
      <x:c r="C27" s="24" t="n">
        <x:f>'排版计划'!G28</x:f>
        <x:v>36</x:v>
      </x:c>
      <x:c r="D27" s="26" t="n">
        <x:f>'来源订单'!H27</x:f>
        <x:v>2.45</x:v>
      </x:c>
      <x:c r="E27" s="26" t="n">
        <x:f>C27*D27</x:f>
        <x:v>88.2</x:v>
      </x:c>
      <x:c r="F27" s="24" t="n">
        <x:f>'排版计划'!I28</x:f>
        <x:v>40</x:v>
      </x:c>
      <x:c r="G27" s="22" t="str">
        <x:f>IF(F27&gt;=0,"PASS","CHECK")</x:f>
        <x:v>PASS</x:v>
      </x:c>
    </x:row>
  </x:sheetData>
  <x:mergeCells>
    <x:mergeCell ref="A1:G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64" hidden="0" customWidth="1"/>
  </x:cols>
  <x:sheetData>
    <x:row r="1" ht="34" customHeight="1">
      <x:c r="A1" s="3" t="str">
        <x:v>说明</x:v>
      </x:c>
      <x:c r="B1" s="3" t="str">
        <x:v>说明</x:v>
      </x:c>
      <x:c r="C1" s="3" t="str">
        <x:v>说明</x:v>
      </x:c>
      <x:c r="D1" s="3" t="str">
        <x:v>说明</x:v>
      </x:c>
      <x:c r="E1" s="3" t="str">
        <x:v>说明</x:v>
      </x:c>
      <x:c r="F1" s="3" t="str">
        <x:v>说明</x:v>
      </x:c>
    </x:row>
    <x:row r="3" ht="30" customHeight="1">
      <x:c r="A3" s="15" t="str">
        <x:v>项目</x:v>
      </x:c>
      <x:c r="B3" s="17" t="str">
        <x:v>说明</x:v>
      </x:c>
    </x:row>
    <x:row r="4" ht="22" customHeight="1">
      <x:c r="A4" s="21" t="str">
        <x:v>用途</x:v>
      </x:c>
      <x:c r="B4" s="21" t="str">
        <x:v>展示 Word / Excel 输出应具备的可执行与可复核结构</x:v>
      </x:c>
    </x:row>
    <x:row r="5" ht="22" customHeight="1">
      <x:c r="A5" s="22" t="str">
        <x:v>数据来源</x:v>
      </x:c>
      <x:c r="B5" s="22" t="str">
        <x:v>本包内虚构订单，不含客户、联系方式或真实价格</x:v>
      </x:c>
    </x:row>
    <x:row r="6" ht="22" customHeight="1">
      <x:c r="A6" s="22" t="str">
        <x:v>结果性质</x:v>
      </x:c>
      <x:c r="B6" s="22" t="str">
        <x:v>根据公开工作流生成的结构样例，并非软件真实运行记录</x:v>
      </x:c>
    </x:row>
    <x:row r="7" ht="22" customHeight="1">
      <x:c r="A7" s="22" t="str">
        <x:v>复核方法</x:v>
      </x:c>
      <x:c r="B7" s="22" t="str">
        <x:v>检查公式、数量、产能、余量及成本列，不使用这些值进行商业报价</x:v>
      </x:c>
    </x:row>
  </x:sheetData>
  <x:mergeCells>
    <x:mergeCell ref="A1:F1"/>
  </x:mergeCells>
  <x:pageMargins left="0.7" right="0.7" top="0.75" bottom="0.75" header="0.3" footer="0.3"/>
</x:worksheet>
</file>